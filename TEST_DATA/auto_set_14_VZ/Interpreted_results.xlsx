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<sst xmlns="http://schemas.openxmlformats.org/spreadsheetml/2006/main" count="20" uniqueCount="20">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</sst>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Munkalap1!$M$2:$M$31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Munkalap1!$N$2:$N$31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Munkalap1!$O$2:$O$31</c:f>
              <c:numCache/>
            </c:numRef>
          </c:val>
          <c:smooth val="0"/>
        </c:ser>
        <c:axId val="1387509724"/>
        <c:axId val="1344705680"/>
      </c:lineChart>
      <c:catAx>
        <c:axId val="1387509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705680"/>
      </c:catAx>
      <c:valAx>
        <c:axId val="1344705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509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Munkalap1!$Q$2:$Q$32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Munkalap1!$T$2:$T$32</c:f>
              <c:numCache/>
            </c:numRef>
          </c:val>
          <c:smooth val="0"/>
        </c:ser>
        <c:axId val="97451189"/>
        <c:axId val="365793319"/>
      </c:lineChart>
      <c:catAx>
        <c:axId val="97451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793319"/>
      </c:catAx>
      <c:valAx>
        <c:axId val="365793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51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Munkalap1!$K$2:$K$32</c:f>
            </c:numRef>
          </c:xVal>
          <c:yVal>
            <c:numRef>
              <c:f>Munkalap1!$C$2:$C$32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571040"/>
        <c:axId val="1210818284"/>
      </c:scatterChart>
      <c:valAx>
        <c:axId val="3135710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818284"/>
      </c:valAx>
      <c:valAx>
        <c:axId val="1210818284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571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Munkalap1!$D$2:$D$32</c:f>
            </c:numRef>
          </c:xVal>
          <c:yVal>
            <c:numRef>
              <c:f>Munkalap1!$L$2:$L$32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445297"/>
        <c:axId val="1350404401"/>
      </c:scatterChart>
      <c:valAx>
        <c:axId val="12074452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404401"/>
      </c:valAx>
      <c:valAx>
        <c:axId val="1350404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445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31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190500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49</xdr:row>
      <xdr:rowOff>190500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1.62500001490116</v>
      </c>
      <c r="B2" s="1">
        <v>1.31249997764826</v>
      </c>
      <c r="C2" s="1">
        <v>1.02014815807343</v>
      </c>
      <c r="D2" s="1">
        <v>2.5</v>
      </c>
      <c r="E2" s="1">
        <v>0.0</v>
      </c>
      <c r="F2" s="1">
        <v>0.931066215446183</v>
      </c>
      <c r="G2" s="1">
        <v>1.0</v>
      </c>
      <c r="H2" s="1">
        <v>0.931066215446183</v>
      </c>
      <c r="I2" s="1">
        <v>0.0</v>
      </c>
      <c r="J2" s="1">
        <v>-2.0</v>
      </c>
      <c r="K2" s="1">
        <v>-1.0</v>
      </c>
      <c r="L2" s="1">
        <v>3.0</v>
      </c>
      <c r="M2" s="4">
        <f t="shared" ref="M2:M31" si="1">SQRT(I2*I2 + J2*J2)</f>
        <v>2</v>
      </c>
      <c r="N2" s="4">
        <f t="shared" ref="N2:N31" si="2">SQRT(A2*A2 + B2*B2) * 0.9</f>
        <v>1.879962182</v>
      </c>
      <c r="O2" s="4">
        <f t="shared" ref="O2:O31" si="3"> (M2 - N2)</f>
        <v>0.1200378184</v>
      </c>
      <c r="P2" s="4">
        <f t="shared" ref="P2:P31" si="4"> O2 * O2</f>
        <v>0.01440907785</v>
      </c>
      <c r="Q2" s="5">
        <f t="shared" ref="Q2:Q31" si="5">MOD(ATAN(I2 / (J2 + 0.001)) / PI() * 360, 360)</f>
        <v>0</v>
      </c>
      <c r="R2" s="5">
        <f t="shared" ref="R2:R31" si="6">MOD(ATAN(B2 / (A2 + 0.001)) / PI() * 360, 360)</f>
        <v>77.82062875</v>
      </c>
      <c r="S2" s="5">
        <f t="shared" ref="S2:S31" si="7">Q2 - R2</f>
        <v>-77.82062875</v>
      </c>
      <c r="T2" s="5">
        <f t="shared" ref="T2:T31" si="8"> R2 + S$32</f>
        <v>219.1810061</v>
      </c>
    </row>
    <row r="3">
      <c r="A3" s="1">
        <v>7.87499964237213</v>
      </c>
      <c r="B3" s="1">
        <v>0.812500007450581</v>
      </c>
      <c r="C3" s="1">
        <v>1.03380513191223</v>
      </c>
      <c r="D3" s="1">
        <v>9.00045776367188</v>
      </c>
      <c r="E3" s="1">
        <v>1.0</v>
      </c>
      <c r="F3" s="1">
        <v>1.0</v>
      </c>
      <c r="G3" s="1">
        <v>1.0</v>
      </c>
      <c r="H3" s="1">
        <v>0.740492890307364</v>
      </c>
      <c r="I3" s="1">
        <v>-4.0</v>
      </c>
      <c r="J3" s="1">
        <v>-5.0</v>
      </c>
      <c r="K3" s="1">
        <v>-2.0</v>
      </c>
      <c r="L3" s="1">
        <v>10.0</v>
      </c>
      <c r="M3" s="4">
        <f t="shared" si="1"/>
        <v>6.403124237</v>
      </c>
      <c r="N3" s="4">
        <f t="shared" si="2"/>
        <v>7.125123035</v>
      </c>
      <c r="O3" s="4">
        <f t="shared" si="3"/>
        <v>-0.7219987973</v>
      </c>
      <c r="P3" s="4">
        <f t="shared" si="4"/>
        <v>0.5212822633</v>
      </c>
      <c r="Q3" s="5">
        <f t="shared" si="5"/>
        <v>77.33079754</v>
      </c>
      <c r="R3" s="5">
        <f t="shared" si="6"/>
        <v>11.77976815</v>
      </c>
      <c r="S3" s="5">
        <f t="shared" si="7"/>
        <v>65.55102939</v>
      </c>
      <c r="T3" s="5">
        <f t="shared" si="8"/>
        <v>153.1401455</v>
      </c>
    </row>
    <row r="4">
      <c r="A4" s="1">
        <v>7.8029536366846</v>
      </c>
      <c r="B4" s="1">
        <v>0.558618336490663</v>
      </c>
      <c r="C4" s="1">
        <v>1.1309041002162</v>
      </c>
      <c r="D4" s="1">
        <v>11.5002293586731</v>
      </c>
      <c r="E4" s="1">
        <v>1.0</v>
      </c>
      <c r="F4" s="1">
        <v>0.991872463797535</v>
      </c>
      <c r="G4" s="1">
        <v>2.0</v>
      </c>
      <c r="H4" s="1">
        <v>0.87356369843255</v>
      </c>
      <c r="I4" s="1">
        <v>-4.0</v>
      </c>
      <c r="J4" s="1">
        <v>-5.0</v>
      </c>
      <c r="K4" s="1">
        <v>-6.0</v>
      </c>
      <c r="L4" s="1">
        <v>13.0</v>
      </c>
      <c r="M4" s="4">
        <f t="shared" si="1"/>
        <v>6.403124237</v>
      </c>
      <c r="N4" s="4">
        <f t="shared" si="2"/>
        <v>7.0406316</v>
      </c>
      <c r="O4" s="4">
        <f t="shared" si="3"/>
        <v>-0.6375073621</v>
      </c>
      <c r="P4" s="4">
        <f t="shared" si="4"/>
        <v>0.4064156368</v>
      </c>
      <c r="Q4" s="5">
        <f t="shared" si="5"/>
        <v>77.33079754</v>
      </c>
      <c r="R4" s="5">
        <f t="shared" si="6"/>
        <v>8.188663321</v>
      </c>
      <c r="S4" s="5">
        <f t="shared" si="7"/>
        <v>69.14213421</v>
      </c>
      <c r="T4" s="5">
        <f t="shared" si="8"/>
        <v>149.5490406</v>
      </c>
    </row>
    <row r="5">
      <c r="A5" s="1">
        <v>7.14236340027406</v>
      </c>
      <c r="B5" s="1">
        <v>4.55896612988577</v>
      </c>
      <c r="C5" s="1">
        <v>1.1346640658353</v>
      </c>
      <c r="D5" s="1">
        <v>0.750221252441406</v>
      </c>
      <c r="E5" s="1">
        <v>1.0</v>
      </c>
      <c r="F5" s="1">
        <v>0.882638283355826</v>
      </c>
      <c r="G5" s="1">
        <v>2.0</v>
      </c>
      <c r="H5" s="1">
        <v>0.809005705243394</v>
      </c>
      <c r="I5" s="1">
        <v>-1.0</v>
      </c>
      <c r="J5" s="1">
        <v>-8.0</v>
      </c>
      <c r="K5" s="1">
        <v>-6.0</v>
      </c>
      <c r="L5" s="1">
        <v>2.0</v>
      </c>
      <c r="M5" s="4">
        <f t="shared" si="1"/>
        <v>8.062257748</v>
      </c>
      <c r="N5" s="4">
        <f t="shared" si="2"/>
        <v>7.626007931</v>
      </c>
      <c r="O5" s="4">
        <f t="shared" si="3"/>
        <v>0.4362498173</v>
      </c>
      <c r="P5" s="4">
        <f t="shared" si="4"/>
        <v>0.1903139031</v>
      </c>
      <c r="Q5" s="5">
        <f t="shared" si="5"/>
        <v>14.25179586</v>
      </c>
      <c r="R5" s="5">
        <f t="shared" si="6"/>
        <v>65.09285418</v>
      </c>
      <c r="S5" s="5">
        <f t="shared" si="7"/>
        <v>-50.84105831</v>
      </c>
      <c r="T5" s="5">
        <f t="shared" si="8"/>
        <v>206.4532315</v>
      </c>
    </row>
    <row r="6">
      <c r="A6" s="1">
        <v>8.72112862010389</v>
      </c>
      <c r="B6" s="1">
        <v>5.90452585609646</v>
      </c>
      <c r="C6" s="1">
        <v>1.03380513191223</v>
      </c>
      <c r="D6" s="1">
        <v>18.0004577636719</v>
      </c>
      <c r="E6" s="1">
        <v>2.0</v>
      </c>
      <c r="F6" s="1">
        <v>1.0</v>
      </c>
      <c r="G6" s="1">
        <v>1.0</v>
      </c>
      <c r="H6" s="1">
        <v>0.833564806563388</v>
      </c>
      <c r="I6" s="1">
        <v>-1.0</v>
      </c>
      <c r="J6" s="1">
        <v>-11.0</v>
      </c>
      <c r="K6" s="1">
        <v>-2.0</v>
      </c>
      <c r="L6" s="1">
        <v>20.0</v>
      </c>
      <c r="M6" s="4">
        <f t="shared" si="1"/>
        <v>11.04536102</v>
      </c>
      <c r="N6" s="4">
        <f t="shared" si="2"/>
        <v>9.478735311</v>
      </c>
      <c r="O6" s="4">
        <f t="shared" si="3"/>
        <v>1.566625706</v>
      </c>
      <c r="P6" s="4">
        <f t="shared" si="4"/>
        <v>2.454316103</v>
      </c>
      <c r="Q6" s="5">
        <f t="shared" si="5"/>
        <v>10.38979718</v>
      </c>
      <c r="R6" s="5">
        <f t="shared" si="6"/>
        <v>68.19280031</v>
      </c>
      <c r="S6" s="5">
        <f t="shared" si="7"/>
        <v>-57.80300314</v>
      </c>
      <c r="T6" s="5">
        <f t="shared" si="8"/>
        <v>209.5531776</v>
      </c>
    </row>
    <row r="7">
      <c r="A7" s="1">
        <v>5.80751500325809</v>
      </c>
      <c r="B7" s="1">
        <v>9.72801614877368</v>
      </c>
      <c r="C7" s="1">
        <v>1.01017984309772</v>
      </c>
      <c r="D7" s="1">
        <v>17.7504653930664</v>
      </c>
      <c r="E7" s="1">
        <v>3.0</v>
      </c>
      <c r="F7" s="1">
        <v>1.0</v>
      </c>
      <c r="G7" s="1">
        <v>2.0</v>
      </c>
      <c r="H7" s="1">
        <v>0.772353178284229</v>
      </c>
      <c r="I7" s="1">
        <v>3.0</v>
      </c>
      <c r="J7" s="1">
        <v>-11.0</v>
      </c>
      <c r="K7" s="1">
        <v>-1.0</v>
      </c>
      <c r="L7" s="1">
        <v>19.0</v>
      </c>
      <c r="M7" s="4">
        <f t="shared" si="1"/>
        <v>11.40175425</v>
      </c>
      <c r="N7" s="4">
        <f t="shared" si="2"/>
        <v>10.19670723</v>
      </c>
      <c r="O7" s="4">
        <f t="shared" si="3"/>
        <v>1.205047025</v>
      </c>
      <c r="P7" s="4">
        <f t="shared" si="4"/>
        <v>1.452138333</v>
      </c>
      <c r="Q7" s="5">
        <f t="shared" si="5"/>
        <v>329.4871179</v>
      </c>
      <c r="R7" s="5">
        <f t="shared" si="6"/>
        <v>118.3178738</v>
      </c>
      <c r="S7" s="5">
        <f t="shared" si="7"/>
        <v>211.1692442</v>
      </c>
      <c r="T7" s="5">
        <f t="shared" si="8"/>
        <v>259.6782511</v>
      </c>
    </row>
    <row r="8">
      <c r="A8" s="1">
        <v>9.71585434530938</v>
      </c>
      <c r="B8" s="1">
        <v>12.9794565066394</v>
      </c>
      <c r="C8" s="1">
        <v>1.05999028381939</v>
      </c>
      <c r="D8" s="1">
        <v>0.125461578369139</v>
      </c>
      <c r="E8" s="1">
        <v>4.0</v>
      </c>
      <c r="F8" s="1">
        <v>1.0</v>
      </c>
      <c r="G8" s="1">
        <v>2.0</v>
      </c>
      <c r="H8" s="1">
        <v>0.804397805219689</v>
      </c>
      <c r="I8" s="1">
        <v>3.0</v>
      </c>
      <c r="J8" s="1">
        <v>-14.0</v>
      </c>
      <c r="K8" s="1">
        <v>-3.0</v>
      </c>
      <c r="L8" s="1">
        <v>0.0</v>
      </c>
      <c r="M8" s="4">
        <f t="shared" si="1"/>
        <v>14.31782106</v>
      </c>
      <c r="N8" s="4">
        <f t="shared" si="2"/>
        <v>14.59177627</v>
      </c>
      <c r="O8" s="4">
        <f t="shared" si="3"/>
        <v>-0.273955205</v>
      </c>
      <c r="P8" s="4">
        <f t="shared" si="4"/>
        <v>0.07505145432</v>
      </c>
      <c r="Q8" s="5">
        <f t="shared" si="5"/>
        <v>335.8088088</v>
      </c>
      <c r="R8" s="5">
        <f t="shared" si="6"/>
        <v>106.3604967</v>
      </c>
      <c r="S8" s="5">
        <f t="shared" si="7"/>
        <v>229.448312</v>
      </c>
      <c r="T8" s="5">
        <f t="shared" si="8"/>
        <v>247.7208741</v>
      </c>
    </row>
    <row r="9">
      <c r="A9" s="1">
        <v>7.82868427265899</v>
      </c>
      <c r="B9" s="1">
        <v>15.5717133051633</v>
      </c>
      <c r="C9" s="1">
        <v>1.01435685015211</v>
      </c>
      <c r="D9" s="1">
        <v>3.43796360492706</v>
      </c>
      <c r="E9" s="1">
        <v>4.0</v>
      </c>
      <c r="F9" s="1">
        <v>0.896949681149784</v>
      </c>
      <c r="G9" s="1">
        <v>2.0</v>
      </c>
      <c r="H9" s="1">
        <v>0.846667869683368</v>
      </c>
      <c r="I9" s="1">
        <v>6.0</v>
      </c>
      <c r="J9" s="1">
        <v>-14.0</v>
      </c>
      <c r="K9" s="1">
        <v>-1.0</v>
      </c>
      <c r="L9" s="1">
        <v>4.0</v>
      </c>
      <c r="M9" s="4">
        <f t="shared" si="1"/>
        <v>15.23154621</v>
      </c>
      <c r="N9" s="4">
        <f t="shared" si="2"/>
        <v>15.68600994</v>
      </c>
      <c r="O9" s="4">
        <f t="shared" si="3"/>
        <v>-0.4544637234</v>
      </c>
      <c r="P9" s="4">
        <f t="shared" si="4"/>
        <v>0.2065372759</v>
      </c>
      <c r="Q9" s="5">
        <f t="shared" si="5"/>
        <v>313.5998552</v>
      </c>
      <c r="R9" s="5">
        <f t="shared" si="6"/>
        <v>126.6121678</v>
      </c>
      <c r="S9" s="5">
        <f t="shared" si="7"/>
        <v>186.9876874</v>
      </c>
      <c r="T9" s="5">
        <f t="shared" si="8"/>
        <v>267.9725451</v>
      </c>
    </row>
    <row r="10">
      <c r="A10" s="1">
        <v>4.84649468315865</v>
      </c>
      <c r="B10" s="1">
        <v>17.2730139775039</v>
      </c>
      <c r="C10" s="1">
        <v>1.11378110476848</v>
      </c>
      <c r="D10" s="1">
        <v>3.6654497385025</v>
      </c>
      <c r="E10" s="1">
        <v>5.0</v>
      </c>
      <c r="F10" s="1">
        <v>1.0</v>
      </c>
      <c r="G10" s="1">
        <v>2.0</v>
      </c>
      <c r="H10" s="1">
        <v>0.781082950831916</v>
      </c>
      <c r="I10" s="1">
        <v>9.0</v>
      </c>
      <c r="J10" s="1">
        <v>-14.0</v>
      </c>
      <c r="K10" s="1">
        <v>-5.0</v>
      </c>
      <c r="L10" s="1">
        <v>4.0</v>
      </c>
      <c r="M10" s="4">
        <f t="shared" si="1"/>
        <v>16.64331698</v>
      </c>
      <c r="N10" s="4">
        <f t="shared" si="2"/>
        <v>16.14604823</v>
      </c>
      <c r="O10" s="4">
        <f t="shared" si="3"/>
        <v>0.4972687519</v>
      </c>
      <c r="P10" s="4">
        <f t="shared" si="4"/>
        <v>0.2472762116</v>
      </c>
      <c r="Q10" s="5">
        <f t="shared" si="5"/>
        <v>294.5258241</v>
      </c>
      <c r="R10" s="5">
        <f t="shared" si="6"/>
        <v>148.6475359</v>
      </c>
      <c r="S10" s="5">
        <f t="shared" si="7"/>
        <v>145.8782882</v>
      </c>
      <c r="T10" s="5">
        <f t="shared" si="8"/>
        <v>290.0079132</v>
      </c>
    </row>
    <row r="11">
      <c r="A11" s="1">
        <v>3.9817271289988</v>
      </c>
      <c r="B11" s="1">
        <v>16.6954062173624</v>
      </c>
      <c r="C11" s="1">
        <v>0.996181655701869</v>
      </c>
      <c r="D11" s="1">
        <v>17.1767442822456</v>
      </c>
      <c r="E11" s="1">
        <v>5.0</v>
      </c>
      <c r="F11" s="1">
        <v>0.96714224360641</v>
      </c>
      <c r="G11" s="1">
        <v>3.0</v>
      </c>
      <c r="H11" s="1">
        <v>0.835424799948003</v>
      </c>
      <c r="I11" s="1">
        <v>9.0</v>
      </c>
      <c r="J11" s="1">
        <v>-14.0</v>
      </c>
      <c r="K11" s="1">
        <v>0.0</v>
      </c>
      <c r="L11" s="1">
        <v>18.0</v>
      </c>
      <c r="M11" s="4">
        <f t="shared" si="1"/>
        <v>16.64331698</v>
      </c>
      <c r="N11" s="4">
        <f t="shared" si="2"/>
        <v>15.44728129</v>
      </c>
      <c r="O11" s="4">
        <f t="shared" si="3"/>
        <v>1.19603569</v>
      </c>
      <c r="P11" s="4">
        <f t="shared" si="4"/>
        <v>1.430501373</v>
      </c>
      <c r="Q11" s="5">
        <f t="shared" si="5"/>
        <v>294.5258241</v>
      </c>
      <c r="R11" s="5">
        <f t="shared" si="6"/>
        <v>153.1654468</v>
      </c>
      <c r="S11" s="5">
        <f t="shared" si="7"/>
        <v>141.3603773</v>
      </c>
      <c r="T11" s="5">
        <f t="shared" si="8"/>
        <v>294.5258241</v>
      </c>
    </row>
    <row r="12">
      <c r="A12" s="1">
        <v>4.93216294907556</v>
      </c>
      <c r="B12" s="1">
        <v>22.9577503003395</v>
      </c>
      <c r="C12" s="1">
        <v>0.994736319654036</v>
      </c>
      <c r="D12" s="1">
        <v>11.1655255556106</v>
      </c>
      <c r="E12" s="1">
        <v>6.0</v>
      </c>
      <c r="F12" s="1">
        <v>1.0</v>
      </c>
      <c r="G12" s="1">
        <v>1.0</v>
      </c>
      <c r="H12" s="1">
        <v>0.820240777544486</v>
      </c>
      <c r="I12" s="1">
        <v>12.0</v>
      </c>
      <c r="J12" s="1">
        <v>-17.0</v>
      </c>
      <c r="K12" s="1">
        <v>0.0</v>
      </c>
      <c r="L12" s="1">
        <v>11.0</v>
      </c>
      <c r="M12" s="4">
        <f t="shared" si="1"/>
        <v>20.80865205</v>
      </c>
      <c r="N12" s="4">
        <f t="shared" si="2"/>
        <v>21.13342068</v>
      </c>
      <c r="O12" s="4">
        <f t="shared" si="3"/>
        <v>-0.3247686293</v>
      </c>
      <c r="P12" s="4">
        <f t="shared" si="4"/>
        <v>0.1054746626</v>
      </c>
      <c r="Q12" s="5">
        <f t="shared" si="5"/>
        <v>289.5616382</v>
      </c>
      <c r="R12" s="5">
        <f t="shared" si="6"/>
        <v>155.745376</v>
      </c>
      <c r="S12" s="5">
        <f t="shared" si="7"/>
        <v>133.8162622</v>
      </c>
      <c r="T12" s="5">
        <f t="shared" si="8"/>
        <v>297.1057533</v>
      </c>
    </row>
    <row r="13">
      <c r="A13" s="1">
        <v>2.4246740264607</v>
      </c>
      <c r="B13" s="1">
        <v>24.3160445228271</v>
      </c>
      <c r="C13" s="1">
        <v>1.14380187003498</v>
      </c>
      <c r="D13" s="1">
        <v>18.6654876470566</v>
      </c>
      <c r="E13" s="1">
        <v>6.0</v>
      </c>
      <c r="F13" s="1">
        <v>0.911099786785807</v>
      </c>
      <c r="G13" s="1">
        <v>2.0</v>
      </c>
      <c r="H13" s="1">
        <v>0.845582956434056</v>
      </c>
      <c r="I13" s="1">
        <v>15.0</v>
      </c>
      <c r="J13" s="1">
        <v>-17.0</v>
      </c>
      <c r="K13" s="1">
        <v>-6.0</v>
      </c>
      <c r="L13" s="1">
        <v>19.0</v>
      </c>
      <c r="M13" s="4">
        <f t="shared" si="1"/>
        <v>22.6715681</v>
      </c>
      <c r="N13" s="4">
        <f t="shared" si="2"/>
        <v>21.99297031</v>
      </c>
      <c r="O13" s="4">
        <f t="shared" si="3"/>
        <v>0.6785977899</v>
      </c>
      <c r="P13" s="4">
        <f t="shared" si="4"/>
        <v>0.4604949605</v>
      </c>
      <c r="Q13" s="5">
        <f t="shared" si="5"/>
        <v>277.1493245</v>
      </c>
      <c r="R13" s="5">
        <f t="shared" si="6"/>
        <v>168.6064854</v>
      </c>
      <c r="S13" s="5">
        <f t="shared" si="7"/>
        <v>108.5428392</v>
      </c>
      <c r="T13" s="5">
        <f t="shared" si="8"/>
        <v>309.9668627</v>
      </c>
    </row>
    <row r="14">
      <c r="A14" s="1">
        <v>3.26128812963837</v>
      </c>
      <c r="B14" s="1">
        <v>29.8006892304731</v>
      </c>
      <c r="C14" s="1">
        <v>1.0701346662058</v>
      </c>
      <c r="D14" s="1">
        <v>5.66541874408722</v>
      </c>
      <c r="E14" s="1">
        <v>7.0</v>
      </c>
      <c r="F14" s="1">
        <v>1.0</v>
      </c>
      <c r="G14" s="1">
        <v>1.0</v>
      </c>
      <c r="H14" s="1">
        <v>0.772577278231402</v>
      </c>
      <c r="I14" s="1">
        <v>18.0</v>
      </c>
      <c r="J14" s="1">
        <v>-20.0</v>
      </c>
      <c r="K14" s="1">
        <v>-3.0</v>
      </c>
      <c r="L14" s="1">
        <v>5.0</v>
      </c>
      <c r="M14" s="4">
        <f t="shared" si="1"/>
        <v>26.90724809</v>
      </c>
      <c r="N14" s="4">
        <f t="shared" si="2"/>
        <v>26.98074932</v>
      </c>
      <c r="O14" s="4">
        <f t="shared" si="3"/>
        <v>-0.07350122624</v>
      </c>
      <c r="P14" s="4">
        <f t="shared" si="4"/>
        <v>0.005402430258</v>
      </c>
      <c r="Q14" s="5">
        <f t="shared" si="5"/>
        <v>276.022726</v>
      </c>
      <c r="R14" s="5">
        <f t="shared" si="6"/>
        <v>167.5053885</v>
      </c>
      <c r="S14" s="5">
        <f t="shared" si="7"/>
        <v>108.5173374</v>
      </c>
      <c r="T14" s="5">
        <f t="shared" si="8"/>
        <v>308.8657658</v>
      </c>
    </row>
    <row r="15">
      <c r="A15" s="1">
        <v>8.23932842480875</v>
      </c>
      <c r="B15" s="1">
        <v>28.8451465147706</v>
      </c>
      <c r="C15" s="1">
        <v>1.08812280840404</v>
      </c>
      <c r="D15" s="1">
        <v>10.1654721498489</v>
      </c>
      <c r="E15" s="1">
        <v>8.0</v>
      </c>
      <c r="F15" s="1">
        <v>1.0</v>
      </c>
      <c r="G15" s="1">
        <v>2.0</v>
      </c>
      <c r="H15" s="1">
        <v>0.813645188720469</v>
      </c>
      <c r="I15" s="1">
        <v>14.0</v>
      </c>
      <c r="J15" s="1">
        <v>-23.0</v>
      </c>
      <c r="K15" s="1">
        <v>-4.0</v>
      </c>
      <c r="L15" s="1">
        <v>10.0</v>
      </c>
      <c r="M15" s="4">
        <f t="shared" si="1"/>
        <v>26.92582404</v>
      </c>
      <c r="N15" s="4">
        <f t="shared" si="2"/>
        <v>26.99893513</v>
      </c>
      <c r="O15" s="4">
        <f t="shared" si="3"/>
        <v>-0.07311109859</v>
      </c>
      <c r="P15" s="4">
        <f t="shared" si="4"/>
        <v>0.005345232736</v>
      </c>
      <c r="Q15" s="5">
        <f t="shared" si="5"/>
        <v>297.3404014</v>
      </c>
      <c r="R15" s="5">
        <f t="shared" si="6"/>
        <v>148.1134026</v>
      </c>
      <c r="S15" s="5">
        <f t="shared" si="7"/>
        <v>149.2269988</v>
      </c>
      <c r="T15" s="5">
        <f t="shared" si="8"/>
        <v>289.47378</v>
      </c>
    </row>
    <row r="16">
      <c r="A16" s="1">
        <v>10.7583592554607</v>
      </c>
      <c r="B16" s="1">
        <v>31.088967969262</v>
      </c>
      <c r="C16" s="1">
        <v>0.996330143047224</v>
      </c>
      <c r="D16" s="1">
        <v>24.6654530763626</v>
      </c>
      <c r="E16" s="1">
        <v>8.0</v>
      </c>
      <c r="F16" s="1">
        <v>0.892107174837614</v>
      </c>
      <c r="G16" s="1">
        <v>2.0</v>
      </c>
      <c r="H16" s="1">
        <v>0.823348808310836</v>
      </c>
      <c r="I16" s="1">
        <v>14.0</v>
      </c>
      <c r="J16" s="1">
        <v>-27.0</v>
      </c>
      <c r="K16" s="1">
        <v>0.0</v>
      </c>
      <c r="L16" s="1">
        <v>25.0</v>
      </c>
      <c r="M16" s="4">
        <f t="shared" si="1"/>
        <v>30.41381265</v>
      </c>
      <c r="N16" s="4">
        <f t="shared" si="2"/>
        <v>29.60803338</v>
      </c>
      <c r="O16" s="4">
        <f t="shared" si="3"/>
        <v>0.8057792679</v>
      </c>
      <c r="P16" s="4">
        <f t="shared" si="4"/>
        <v>0.6492802286</v>
      </c>
      <c r="Q16" s="5">
        <f t="shared" si="5"/>
        <v>305.1831147</v>
      </c>
      <c r="R16" s="5">
        <f t="shared" si="6"/>
        <v>141.8202792</v>
      </c>
      <c r="S16" s="5">
        <f t="shared" si="7"/>
        <v>163.3628355</v>
      </c>
      <c r="T16" s="5">
        <f t="shared" si="8"/>
        <v>283.1806565</v>
      </c>
    </row>
    <row r="17">
      <c r="A17" s="1">
        <v>12.0897075160999</v>
      </c>
      <c r="B17" s="1">
        <v>38.2887051606019</v>
      </c>
      <c r="C17" s="1">
        <v>1.01812336908162</v>
      </c>
      <c r="D17" s="1">
        <v>10.1654721498489</v>
      </c>
      <c r="E17" s="1">
        <v>9.0</v>
      </c>
      <c r="F17" s="1">
        <v>1.0</v>
      </c>
      <c r="G17" s="1">
        <v>0.0</v>
      </c>
      <c r="H17" s="1">
        <v>0.0</v>
      </c>
      <c r="I17" s="1">
        <v>18.0</v>
      </c>
      <c r="J17" s="1">
        <v>-31.0</v>
      </c>
      <c r="K17" s="1">
        <v>-1.0</v>
      </c>
      <c r="L17" s="1">
        <v>10.0</v>
      </c>
      <c r="M17" s="4">
        <f t="shared" si="1"/>
        <v>35.84689666</v>
      </c>
      <c r="N17" s="4">
        <f t="shared" si="2"/>
        <v>36.13683213</v>
      </c>
      <c r="O17" s="4">
        <f t="shared" si="3"/>
        <v>-0.2899354704</v>
      </c>
      <c r="P17" s="4">
        <f t="shared" si="4"/>
        <v>0.084062577</v>
      </c>
      <c r="Q17" s="5">
        <f t="shared" si="5"/>
        <v>299.7156237</v>
      </c>
      <c r="R17" s="5">
        <f t="shared" si="6"/>
        <v>144.950122</v>
      </c>
      <c r="S17" s="5">
        <f t="shared" si="7"/>
        <v>154.7655017</v>
      </c>
      <c r="T17" s="5">
        <f t="shared" si="8"/>
        <v>286.3104993</v>
      </c>
    </row>
    <row r="18">
      <c r="A18" s="1">
        <v>12.1284625789494</v>
      </c>
      <c r="B18" s="1">
        <v>38.4203871400678</v>
      </c>
      <c r="C18" s="1">
        <v>0.991514565555569</v>
      </c>
      <c r="D18" s="1">
        <v>8.16547214984893</v>
      </c>
      <c r="E18" s="1">
        <v>9.0</v>
      </c>
      <c r="F18" s="1">
        <v>0.995446392883696</v>
      </c>
      <c r="G18" s="1">
        <v>1.0</v>
      </c>
      <c r="H18" s="1">
        <v>0.995446392883696</v>
      </c>
      <c r="I18" s="1">
        <v>18.0</v>
      </c>
      <c r="J18" s="1">
        <v>-31.0</v>
      </c>
      <c r="K18" s="1">
        <v>0.0</v>
      </c>
      <c r="L18" s="1">
        <v>8.0</v>
      </c>
      <c r="M18" s="4">
        <f t="shared" si="1"/>
        <v>35.84689666</v>
      </c>
      <c r="N18" s="4">
        <f t="shared" si="2"/>
        <v>36.26034831</v>
      </c>
      <c r="O18" s="4">
        <f t="shared" si="3"/>
        <v>-0.4134516519</v>
      </c>
      <c r="P18" s="4">
        <f t="shared" si="4"/>
        <v>0.1709422684</v>
      </c>
      <c r="Q18" s="5">
        <f t="shared" si="5"/>
        <v>299.7156237</v>
      </c>
      <c r="R18" s="5">
        <f t="shared" si="6"/>
        <v>144.9577897</v>
      </c>
      <c r="S18" s="5">
        <f t="shared" si="7"/>
        <v>154.757834</v>
      </c>
      <c r="T18" s="5">
        <f t="shared" si="8"/>
        <v>286.318167</v>
      </c>
    </row>
    <row r="19">
      <c r="A19" s="1">
        <v>12.1714090662935</v>
      </c>
      <c r="B19" s="1">
        <v>44.789467953761</v>
      </c>
      <c r="C19" s="1">
        <v>0.998015190773686</v>
      </c>
      <c r="D19" s="1">
        <v>13.6654723882675</v>
      </c>
      <c r="E19" s="1">
        <v>10.0</v>
      </c>
      <c r="F19" s="1">
        <v>1.0</v>
      </c>
      <c r="G19" s="1">
        <v>1.0</v>
      </c>
      <c r="H19" s="1">
        <v>0.785025483378654</v>
      </c>
      <c r="I19" s="1">
        <v>22.0</v>
      </c>
      <c r="J19" s="1">
        <v>-34.0</v>
      </c>
      <c r="K19" s="1">
        <v>0.0</v>
      </c>
      <c r="L19" s="1">
        <v>14.0</v>
      </c>
      <c r="M19" s="4">
        <f t="shared" si="1"/>
        <v>40.49691346</v>
      </c>
      <c r="N19" s="4">
        <f t="shared" si="2"/>
        <v>41.77240844</v>
      </c>
      <c r="O19" s="4">
        <f t="shared" si="3"/>
        <v>-1.275494979</v>
      </c>
      <c r="P19" s="4">
        <f t="shared" si="4"/>
        <v>1.62688744</v>
      </c>
      <c r="Q19" s="5">
        <f t="shared" si="5"/>
        <v>294.1879769</v>
      </c>
      <c r="R19" s="5">
        <f t="shared" si="6"/>
        <v>149.5919472</v>
      </c>
      <c r="S19" s="5">
        <f t="shared" si="7"/>
        <v>144.5960298</v>
      </c>
      <c r="T19" s="5">
        <f t="shared" si="8"/>
        <v>290.9523245</v>
      </c>
    </row>
    <row r="20">
      <c r="A20" s="1">
        <v>8.95148081294431</v>
      </c>
      <c r="B20" s="1">
        <v>45.6318570486177</v>
      </c>
      <c r="C20" s="1">
        <v>1.05605236744629</v>
      </c>
      <c r="D20" s="1">
        <v>26.1654727458954</v>
      </c>
      <c r="E20" s="1">
        <v>10.0</v>
      </c>
      <c r="F20" s="1">
        <v>0.891977053061857</v>
      </c>
      <c r="G20" s="1">
        <v>2.0</v>
      </c>
      <c r="H20" s="1">
        <v>0.817654274427212</v>
      </c>
      <c r="I20" s="1">
        <v>25.0</v>
      </c>
      <c r="J20" s="1">
        <v>-34.0</v>
      </c>
      <c r="K20" s="1">
        <v>-2.0</v>
      </c>
      <c r="L20" s="1">
        <v>27.0</v>
      </c>
      <c r="M20" s="4">
        <f t="shared" si="1"/>
        <v>42.20189569</v>
      </c>
      <c r="N20" s="4">
        <f t="shared" si="2"/>
        <v>41.85140694</v>
      </c>
      <c r="O20" s="4">
        <f t="shared" si="3"/>
        <v>0.35048875</v>
      </c>
      <c r="P20" s="4">
        <f t="shared" si="4"/>
        <v>0.1228423639</v>
      </c>
      <c r="Q20" s="5">
        <f t="shared" si="5"/>
        <v>287.3447395</v>
      </c>
      <c r="R20" s="5">
        <f t="shared" si="6"/>
        <v>157.8003231</v>
      </c>
      <c r="S20" s="5">
        <f t="shared" si="7"/>
        <v>129.5444165</v>
      </c>
      <c r="T20" s="5">
        <f t="shared" si="8"/>
        <v>299.1607004</v>
      </c>
    </row>
    <row r="21">
      <c r="A21" s="1">
        <v>9.0259961219059</v>
      </c>
      <c r="B21" s="1">
        <v>51.6296574404444</v>
      </c>
      <c r="C21" s="1">
        <v>1.15522700127377</v>
      </c>
      <c r="D21" s="1">
        <v>13.1653960943222</v>
      </c>
      <c r="E21" s="1">
        <v>11.0</v>
      </c>
      <c r="F21" s="1">
        <v>1.0</v>
      </c>
      <c r="G21" s="1">
        <v>1.0</v>
      </c>
      <c r="H21" s="1">
        <v>0.766902436896086</v>
      </c>
      <c r="I21" s="1">
        <v>29.0</v>
      </c>
      <c r="J21" s="1">
        <v>-37.0</v>
      </c>
      <c r="K21" s="1">
        <v>-6.0</v>
      </c>
      <c r="L21" s="1">
        <v>13.0</v>
      </c>
      <c r="M21" s="4">
        <f t="shared" si="1"/>
        <v>47.01063709</v>
      </c>
      <c r="N21" s="4">
        <f t="shared" si="2"/>
        <v>47.17142152</v>
      </c>
      <c r="O21" s="4">
        <f t="shared" si="3"/>
        <v>-0.1607844242</v>
      </c>
      <c r="P21" s="4">
        <f t="shared" si="4"/>
        <v>0.02585163106</v>
      </c>
      <c r="Q21" s="5">
        <f t="shared" si="5"/>
        <v>283.8209505</v>
      </c>
      <c r="R21" s="5">
        <f t="shared" si="6"/>
        <v>160.1651554</v>
      </c>
      <c r="S21" s="5">
        <f t="shared" si="7"/>
        <v>123.6557951</v>
      </c>
      <c r="T21" s="5">
        <f t="shared" si="8"/>
        <v>301.5255327</v>
      </c>
    </row>
    <row r="22">
      <c r="A22" s="1">
        <v>6.40712543528416</v>
      </c>
      <c r="B22" s="1">
        <v>55.4620582199891</v>
      </c>
      <c r="C22" s="1">
        <v>1.05254050712119</v>
      </c>
      <c r="D22" s="1">
        <v>8.6653960943222</v>
      </c>
      <c r="E22" s="1">
        <v>11.0</v>
      </c>
      <c r="F22" s="1">
        <v>0.859835991919673</v>
      </c>
      <c r="G22" s="1">
        <v>1.0</v>
      </c>
      <c r="H22" s="1">
        <v>0.859835991919673</v>
      </c>
      <c r="I22" s="1">
        <v>33.0</v>
      </c>
      <c r="J22" s="1">
        <v>-37.0</v>
      </c>
      <c r="K22" s="1">
        <v>-2.0</v>
      </c>
      <c r="L22" s="1">
        <v>8.0</v>
      </c>
      <c r="M22" s="4">
        <f t="shared" si="1"/>
        <v>49.57822102</v>
      </c>
      <c r="N22" s="4">
        <f t="shared" si="2"/>
        <v>50.24782421</v>
      </c>
      <c r="O22" s="4">
        <f t="shared" si="3"/>
        <v>-0.6696031892</v>
      </c>
      <c r="P22" s="4">
        <f t="shared" si="4"/>
        <v>0.448368431</v>
      </c>
      <c r="Q22" s="5">
        <f t="shared" si="5"/>
        <v>276.5394374</v>
      </c>
      <c r="R22" s="5">
        <f t="shared" si="6"/>
        <v>166.8184592</v>
      </c>
      <c r="S22" s="5">
        <f t="shared" si="7"/>
        <v>109.7209782</v>
      </c>
      <c r="T22" s="5">
        <f t="shared" si="8"/>
        <v>308.1788365</v>
      </c>
    </row>
    <row r="23">
      <c r="A23" s="1">
        <v>11.3128142695016</v>
      </c>
      <c r="B23" s="1">
        <v>54.4426225768945</v>
      </c>
      <c r="C23" s="1">
        <v>1.10268905263998</v>
      </c>
      <c r="D23" s="1">
        <v>22.1653960943222</v>
      </c>
      <c r="E23" s="1">
        <v>11.0</v>
      </c>
      <c r="F23" s="1">
        <v>0.892962291084844</v>
      </c>
      <c r="G23" s="1">
        <v>1.0</v>
      </c>
      <c r="H23" s="1">
        <v>0.892962291084844</v>
      </c>
      <c r="I23" s="1">
        <v>29.0</v>
      </c>
      <c r="J23" s="1">
        <v>-41.0</v>
      </c>
      <c r="K23" s="1">
        <v>-4.0</v>
      </c>
      <c r="L23" s="1">
        <v>22.0</v>
      </c>
      <c r="M23" s="4">
        <f t="shared" si="1"/>
        <v>50.21951812</v>
      </c>
      <c r="N23" s="4">
        <f t="shared" si="2"/>
        <v>50.04500899</v>
      </c>
      <c r="O23" s="4">
        <f t="shared" si="3"/>
        <v>0.1745091261</v>
      </c>
      <c r="P23" s="4">
        <f t="shared" si="4"/>
        <v>0.03045343509</v>
      </c>
      <c r="Q23" s="5">
        <f t="shared" si="5"/>
        <v>289.4538394</v>
      </c>
      <c r="R23" s="5">
        <f t="shared" si="6"/>
        <v>156.5207158</v>
      </c>
      <c r="S23" s="5">
        <f t="shared" si="7"/>
        <v>132.9331237</v>
      </c>
      <c r="T23" s="5">
        <f t="shared" si="8"/>
        <v>297.8810931</v>
      </c>
    </row>
    <row r="24">
      <c r="A24" s="1">
        <v>17.0783733576608</v>
      </c>
      <c r="B24" s="1">
        <v>54.735619941421</v>
      </c>
      <c r="C24" s="1">
        <v>1.02491842595975</v>
      </c>
      <c r="D24" s="1">
        <v>27.6654113531113</v>
      </c>
      <c r="E24" s="1">
        <v>12.0</v>
      </c>
      <c r="F24" s="1">
        <v>1.0</v>
      </c>
      <c r="G24" s="1">
        <v>1.0</v>
      </c>
      <c r="H24" s="1">
        <v>0.736083952440718</v>
      </c>
      <c r="I24" s="1">
        <v>26.0</v>
      </c>
      <c r="J24" s="1">
        <v>-44.0</v>
      </c>
      <c r="K24" s="1">
        <v>-1.0</v>
      </c>
      <c r="L24" s="1">
        <v>28.0</v>
      </c>
      <c r="M24" s="4">
        <f t="shared" si="1"/>
        <v>51.10772936</v>
      </c>
      <c r="N24" s="4">
        <f t="shared" si="2"/>
        <v>51.60429954</v>
      </c>
      <c r="O24" s="4">
        <f t="shared" si="3"/>
        <v>-0.4965701812</v>
      </c>
      <c r="P24" s="4">
        <f t="shared" si="4"/>
        <v>0.2465819449</v>
      </c>
      <c r="Q24" s="5">
        <f t="shared" si="5"/>
        <v>298.8404056</v>
      </c>
      <c r="R24" s="5">
        <f t="shared" si="6"/>
        <v>145.340608</v>
      </c>
      <c r="S24" s="5">
        <f t="shared" si="7"/>
        <v>153.4997975</v>
      </c>
      <c r="T24" s="5">
        <f t="shared" si="8"/>
        <v>286.7009854</v>
      </c>
    </row>
    <row r="25">
      <c r="A25" s="1">
        <v>18.0790585136575</v>
      </c>
      <c r="B25" s="1">
        <v>52.1494160851292</v>
      </c>
      <c r="C25" s="1">
        <v>1.01812427461947</v>
      </c>
      <c r="D25" s="1">
        <v>23.665953040123</v>
      </c>
      <c r="E25" s="1">
        <v>12.0</v>
      </c>
      <c r="F25" s="1">
        <v>0.909512327552234</v>
      </c>
      <c r="G25" s="1">
        <v>2.0</v>
      </c>
      <c r="H25" s="1">
        <v>0.815678010902427</v>
      </c>
      <c r="I25" s="1">
        <v>23.0</v>
      </c>
      <c r="J25" s="1">
        <v>-44.0</v>
      </c>
      <c r="K25" s="1">
        <v>-1.0</v>
      </c>
      <c r="L25" s="1">
        <v>24.0</v>
      </c>
      <c r="M25" s="4">
        <f t="shared" si="1"/>
        <v>49.64876635</v>
      </c>
      <c r="N25" s="4">
        <f t="shared" si="2"/>
        <v>49.67489611</v>
      </c>
      <c r="O25" s="4">
        <f t="shared" si="3"/>
        <v>-0.02612975893</v>
      </c>
      <c r="P25" s="4">
        <f t="shared" si="4"/>
        <v>0.0006827643016</v>
      </c>
      <c r="Q25" s="5">
        <f t="shared" si="5"/>
        <v>304.804339</v>
      </c>
      <c r="R25" s="5">
        <f t="shared" si="6"/>
        <v>141.75742</v>
      </c>
      <c r="S25" s="5">
        <f t="shared" si="7"/>
        <v>163.046919</v>
      </c>
      <c r="T25" s="5">
        <f t="shared" si="8"/>
        <v>283.1177973</v>
      </c>
    </row>
    <row r="26">
      <c r="A26" s="1">
        <v>21.3046439906076</v>
      </c>
      <c r="B26" s="1">
        <v>54.8167950603793</v>
      </c>
      <c r="C26" s="1">
        <v>1.06663500726692</v>
      </c>
      <c r="D26" s="1">
        <v>26.6654113531113</v>
      </c>
      <c r="E26" s="1">
        <v>12.0</v>
      </c>
      <c r="F26" s="1">
        <v>0.865266008505094</v>
      </c>
      <c r="G26" s="1">
        <v>1.0</v>
      </c>
      <c r="H26" s="1">
        <v>0.865266008505094</v>
      </c>
      <c r="I26" s="1">
        <v>23.0</v>
      </c>
      <c r="J26" s="1">
        <v>-48.0</v>
      </c>
      <c r="K26" s="1">
        <v>-3.0</v>
      </c>
      <c r="L26" s="1">
        <v>27.0</v>
      </c>
      <c r="M26" s="4">
        <f t="shared" si="1"/>
        <v>53.22593353</v>
      </c>
      <c r="N26" s="4">
        <f t="shared" si="2"/>
        <v>52.93016899</v>
      </c>
      <c r="O26" s="4">
        <f t="shared" si="3"/>
        <v>0.2957645343</v>
      </c>
      <c r="P26" s="4">
        <f t="shared" si="4"/>
        <v>0.08747665978</v>
      </c>
      <c r="Q26" s="5">
        <f t="shared" si="5"/>
        <v>308.7946946</v>
      </c>
      <c r="R26" s="5">
        <f t="shared" si="6"/>
        <v>137.5207779</v>
      </c>
      <c r="S26" s="5">
        <f t="shared" si="7"/>
        <v>171.2739167</v>
      </c>
      <c r="T26" s="5">
        <f t="shared" si="8"/>
        <v>278.8811552</v>
      </c>
    </row>
    <row r="27">
      <c r="A27" s="1">
        <v>20.9303481586563</v>
      </c>
      <c r="B27" s="1">
        <v>58.6828435038701</v>
      </c>
      <c r="C27" s="1">
        <v>1.04556864441835</v>
      </c>
      <c r="D27" s="1">
        <v>13.1654113531113</v>
      </c>
      <c r="E27" s="1">
        <v>13.0</v>
      </c>
      <c r="F27" s="1">
        <v>1.0</v>
      </c>
      <c r="G27" s="1">
        <v>1.0</v>
      </c>
      <c r="H27" s="1">
        <v>0.822416107428965</v>
      </c>
      <c r="I27" s="1">
        <v>26.0</v>
      </c>
      <c r="J27" s="1">
        <v>-48.0</v>
      </c>
      <c r="K27" s="1">
        <v>-2.0</v>
      </c>
      <c r="L27" s="1">
        <v>5.0</v>
      </c>
      <c r="M27" s="4">
        <f t="shared" si="1"/>
        <v>54.58937626</v>
      </c>
      <c r="N27" s="4">
        <f t="shared" si="2"/>
        <v>56.07336295</v>
      </c>
      <c r="O27" s="4">
        <f t="shared" si="3"/>
        <v>-1.483986694</v>
      </c>
      <c r="P27" s="4">
        <f t="shared" si="4"/>
        <v>2.202216509</v>
      </c>
      <c r="Q27" s="5">
        <f t="shared" si="5"/>
        <v>303.1131429</v>
      </c>
      <c r="R27" s="5">
        <f t="shared" si="6"/>
        <v>140.7387894</v>
      </c>
      <c r="S27" s="5">
        <f t="shared" si="7"/>
        <v>162.3743536</v>
      </c>
      <c r="T27" s="5">
        <f t="shared" si="8"/>
        <v>282.0991667</v>
      </c>
    </row>
    <row r="28">
      <c r="A28" s="1">
        <v>19.4881345680407</v>
      </c>
      <c r="B28" s="1">
        <v>61.7856111862216</v>
      </c>
      <c r="C28" s="1">
        <v>1.00467612014962</v>
      </c>
      <c r="D28" s="1">
        <v>18.4234374761581</v>
      </c>
      <c r="E28" s="1">
        <v>13.0</v>
      </c>
      <c r="F28" s="1">
        <v>0.888742685892321</v>
      </c>
      <c r="G28" s="1">
        <v>2.0</v>
      </c>
      <c r="H28" s="1">
        <v>0.82200768995231</v>
      </c>
      <c r="I28" s="1">
        <v>29.0</v>
      </c>
      <c r="J28" s="1">
        <v>-51.0</v>
      </c>
      <c r="K28" s="1">
        <v>0.0</v>
      </c>
      <c r="L28" s="1">
        <v>11.0</v>
      </c>
      <c r="M28" s="4">
        <f t="shared" si="1"/>
        <v>58.66856058</v>
      </c>
      <c r="N28" s="4">
        <f t="shared" si="2"/>
        <v>58.30756214</v>
      </c>
      <c r="O28" s="4">
        <f t="shared" si="3"/>
        <v>0.3609984393</v>
      </c>
      <c r="P28" s="4">
        <f t="shared" si="4"/>
        <v>0.1303198732</v>
      </c>
      <c r="Q28" s="5">
        <f t="shared" si="5"/>
        <v>300.751537</v>
      </c>
      <c r="R28" s="5">
        <f t="shared" si="6"/>
        <v>144.986157</v>
      </c>
      <c r="S28" s="5">
        <f t="shared" si="7"/>
        <v>155.76538</v>
      </c>
      <c r="T28" s="5">
        <f t="shared" si="8"/>
        <v>286.3465343</v>
      </c>
    </row>
    <row r="29">
      <c r="A29" s="1">
        <v>27.1858687430922</v>
      </c>
      <c r="B29" s="1">
        <v>62.9086116873043</v>
      </c>
      <c r="C29" s="1">
        <v>1.05254408106007</v>
      </c>
      <c r="D29" s="1">
        <v>8.16570127010345</v>
      </c>
      <c r="E29" s="1">
        <v>14.0</v>
      </c>
      <c r="F29" s="1">
        <v>1.0</v>
      </c>
      <c r="G29" s="1">
        <v>1.0</v>
      </c>
      <c r="H29" s="1">
        <v>0.760130999839421</v>
      </c>
      <c r="I29" s="1">
        <v>25.0</v>
      </c>
      <c r="J29" s="1">
        <v>-55.0</v>
      </c>
      <c r="K29" s="1">
        <v>-2.0</v>
      </c>
      <c r="L29" s="1">
        <v>0.0</v>
      </c>
      <c r="M29" s="4">
        <f t="shared" si="1"/>
        <v>60.41522987</v>
      </c>
      <c r="N29" s="4">
        <f t="shared" si="2"/>
        <v>61.67833944</v>
      </c>
      <c r="O29" s="4">
        <f t="shared" si="3"/>
        <v>-1.26310957</v>
      </c>
      <c r="P29" s="4">
        <f t="shared" si="4"/>
        <v>1.595445786</v>
      </c>
      <c r="Q29" s="5">
        <f t="shared" si="5"/>
        <v>311.1113056</v>
      </c>
      <c r="R29" s="5">
        <f t="shared" si="6"/>
        <v>133.2554263</v>
      </c>
      <c r="S29" s="5">
        <f t="shared" si="7"/>
        <v>177.8558793</v>
      </c>
      <c r="T29" s="5">
        <f t="shared" si="8"/>
        <v>274.6158036</v>
      </c>
    </row>
    <row r="30">
      <c r="A30" s="1">
        <v>31.980615866817</v>
      </c>
      <c r="B30" s="1">
        <v>63.3566631635979</v>
      </c>
      <c r="C30" s="1">
        <v>1.01137863773475</v>
      </c>
      <c r="D30" s="1">
        <v>21.1657022237778</v>
      </c>
      <c r="E30" s="1">
        <v>15.0</v>
      </c>
      <c r="F30" s="1">
        <v>1.0</v>
      </c>
      <c r="G30" s="1">
        <v>1.0</v>
      </c>
      <c r="H30" s="1">
        <v>0.844450377320591</v>
      </c>
      <c r="I30" s="1">
        <v>22.0</v>
      </c>
      <c r="J30" s="1">
        <v>-59.0</v>
      </c>
      <c r="K30" s="1">
        <v>-1.0</v>
      </c>
      <c r="L30" s="1">
        <v>14.0</v>
      </c>
      <c r="M30" s="4">
        <f t="shared" si="1"/>
        <v>62.96824597</v>
      </c>
      <c r="N30" s="4">
        <f t="shared" si="2"/>
        <v>63.87354313</v>
      </c>
      <c r="O30" s="4">
        <f t="shared" si="3"/>
        <v>-0.9052971671</v>
      </c>
      <c r="P30" s="4">
        <f t="shared" si="4"/>
        <v>0.8195629608</v>
      </c>
      <c r="Q30" s="5">
        <f t="shared" si="5"/>
        <v>319.100269</v>
      </c>
      <c r="R30" s="5">
        <f t="shared" si="6"/>
        <v>126.4319045</v>
      </c>
      <c r="S30" s="5">
        <f t="shared" si="7"/>
        <v>192.6683645</v>
      </c>
      <c r="T30" s="5">
        <f t="shared" si="8"/>
        <v>267.7922818</v>
      </c>
    </row>
    <row r="31">
      <c r="A31" s="1">
        <v>34.8723245866332</v>
      </c>
      <c r="B31" s="1">
        <v>65.8069590131157</v>
      </c>
      <c r="C31" s="1">
        <v>1.03863940178939</v>
      </c>
      <c r="D31" s="1">
        <v>28.9157017469406</v>
      </c>
      <c r="E31" s="1">
        <v>15.0</v>
      </c>
      <c r="F31" s="1">
        <v>0.87674120515331</v>
      </c>
      <c r="G31" s="1">
        <v>2.0</v>
      </c>
      <c r="H31" s="1">
        <v>0.807428097705908</v>
      </c>
      <c r="I31" s="1">
        <v>22.0</v>
      </c>
      <c r="J31" s="1">
        <v>-63.0</v>
      </c>
      <c r="K31" s="1">
        <v>-2.0</v>
      </c>
      <c r="L31" s="1">
        <v>22.0</v>
      </c>
      <c r="M31" s="4">
        <f t="shared" si="1"/>
        <v>66.73080248</v>
      </c>
      <c r="N31" s="4">
        <f t="shared" si="2"/>
        <v>67.02816013</v>
      </c>
      <c r="O31" s="4">
        <f t="shared" si="3"/>
        <v>-0.2973576446</v>
      </c>
      <c r="P31" s="4">
        <f t="shared" si="4"/>
        <v>0.08842156882</v>
      </c>
      <c r="Q31" s="5">
        <f t="shared" si="5"/>
        <v>321.5003821</v>
      </c>
      <c r="R31" s="5">
        <f t="shared" si="6"/>
        <v>124.158753</v>
      </c>
      <c r="S31" s="5">
        <f t="shared" si="7"/>
        <v>197.3416291</v>
      </c>
      <c r="T31" s="5">
        <f t="shared" si="8"/>
        <v>265.5191303</v>
      </c>
    </row>
    <row r="32">
      <c r="Q32" s="5"/>
      <c r="S32" s="5">
        <f> MEDIAN(S2:S18)</f>
        <v>141.3603773</v>
      </c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