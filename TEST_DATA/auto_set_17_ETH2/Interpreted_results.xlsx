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unkalap1" sheetId="1" r:id="rId4"/>
  </sheets>
  <definedNames/>
  <calcPr/>
</workbook>
</file>

<file path=xl/sharedStrings.xml><?xml version="1.0" encoding="utf-8"?>
<sst xmlns="http://schemas.openxmlformats.org/spreadsheetml/2006/main" count="20" uniqueCount="20">
  <si>
    <t>est_x_mm</t>
  </si>
  <si>
    <t>est_y_mm</t>
  </si>
  <si>
    <t>est_s</t>
  </si>
  <si>
    <t>est_r</t>
  </si>
  <si>
    <t>last_ref_index</t>
  </si>
  <si>
    <t>last_ref_cov</t>
  </si>
  <si>
    <t>ref_count</t>
  </si>
  <si>
    <t>ref_avr_cov</t>
  </si>
  <si>
    <t>gt_x_mm</t>
  </si>
  <si>
    <t>gt_y_mm</t>
  </si>
  <si>
    <t>gt_s</t>
  </si>
  <si>
    <t>gt_r</t>
  </si>
  <si>
    <t>Dist GT</t>
  </si>
  <si>
    <t>Dist measured</t>
  </si>
  <si>
    <t>Error</t>
  </si>
  <si>
    <t>Squared error</t>
  </si>
  <si>
    <t>Angle GT</t>
  </si>
  <si>
    <t>Angle measured</t>
  </si>
  <si>
    <t>diff</t>
  </si>
  <si>
    <t>Corrected measured angle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</si>
</sst>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2.0"/>
      <color rgb="FF000000"/>
      <name val="Calibri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vertical="bottom"/>
    </xf>
    <xf borderId="0" fillId="0" fontId="2" numFmtId="0" xfId="0" applyAlignment="1" applyFont="1">
      <alignment readingOrder="0"/>
    </xf>
    <xf borderId="0" fillId="0" fontId="2" numFmtId="2" xfId="0" applyAlignment="1" applyFont="1" applyNumberFormat="1">
      <alignment readingOrder="0"/>
    </xf>
    <xf borderId="0" fillId="0" fontId="2" numFmtId="0" xfId="0" applyFont="1"/>
    <xf borderId="0" fillId="0" fontId="2" numFmtId="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Distance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Munkalap1!$M$1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Munkalap1!$M$2:$M$31</c:f>
              <c:numCache/>
            </c:numRef>
          </c:val>
          <c:smooth val="0"/>
        </c:ser>
        <c:ser>
          <c:idx val="1"/>
          <c:order val="1"/>
          <c:tx>
            <c:strRef>
              <c:f>Munkalap1!$N$1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val>
            <c:numRef>
              <c:f>Munkalap1!$N$2:$N$31</c:f>
              <c:numCache/>
            </c:numRef>
          </c:val>
          <c:smooth val="0"/>
        </c:ser>
        <c:ser>
          <c:idx val="2"/>
          <c:order val="2"/>
          <c:tx>
            <c:strRef>
              <c:f>Munkalap1!$O$1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val>
            <c:numRef>
              <c:f>Munkalap1!$O$2:$O$31</c:f>
              <c:numCache/>
            </c:numRef>
          </c:val>
          <c:smooth val="0"/>
        </c:ser>
        <c:axId val="826517736"/>
        <c:axId val="1394228297"/>
      </c:lineChart>
      <c:catAx>
        <c:axId val="8265177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94228297"/>
      </c:catAx>
      <c:valAx>
        <c:axId val="139422829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est_x_mm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2651773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Corrected angle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Munkalap1!$Q$1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Munkalap1!$Q$2:$Q$32</c:f>
              <c:numCache/>
            </c:numRef>
          </c:val>
          <c:smooth val="0"/>
        </c:ser>
        <c:ser>
          <c:idx val="1"/>
          <c:order val="1"/>
          <c:tx>
            <c:strRef>
              <c:f>Munkalap1!$T$1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val>
            <c:numRef>
              <c:f>Munkalap1!$T$2:$T$32</c:f>
              <c:numCache/>
            </c:numRef>
          </c:val>
          <c:smooth val="0"/>
        </c:ser>
        <c:axId val="851782839"/>
        <c:axId val="1293544993"/>
      </c:lineChart>
      <c:catAx>
        <c:axId val="85178283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93544993"/>
      </c:catAx>
      <c:valAx>
        <c:axId val="129354499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est_x_mm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5178283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Depth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Munkalap1!$C$1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>gt_s trend line</c:name>
            <c:spPr>
              <a:ln w="19050">
                <a:solidFill>
                  <a:srgbClr val="000000"/>
                </a:solidFill>
              </a:ln>
            </c:spPr>
            <c:trendlineType val="linear"/>
            <c:dispRSqr val="1"/>
            <c:dispEq val="0"/>
          </c:trendline>
          <c:xVal>
            <c:numRef>
              <c:f>Munkalap1!$K$2:$K$32</c:f>
            </c:numRef>
          </c:xVal>
          <c:yVal>
            <c:numRef>
              <c:f>Munkalap1!$C$2:$C$32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7571307"/>
        <c:axId val="1053831915"/>
      </c:scatterChart>
      <c:valAx>
        <c:axId val="160757130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53831915"/>
      </c:valAx>
      <c:valAx>
        <c:axId val="1053831915"/>
        <c:scaling>
          <c:orientation val="minMax"/>
          <c:max val="1.2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est_x_mm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0757130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Rotaton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Munkalap1!$L$1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Munkalap1!$D$2:$D$32</c:f>
            </c:numRef>
          </c:xVal>
          <c:yVal>
            <c:numRef>
              <c:f>Munkalap1!$L$2:$L$32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5781950"/>
        <c:axId val="1607659318"/>
      </c:scatterChart>
      <c:valAx>
        <c:axId val="86578195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07659318"/>
      </c:valAx>
      <c:valAx>
        <c:axId val="160765931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est_x_mm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6578195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31</xdr:row>
      <xdr:rowOff>19050</xdr:rowOff>
    </xdr:from>
    <xdr:ext cx="5324475" cy="3752850"/>
    <xdr:graphicFrame>
      <xdr:nvGraphicFramePr>
        <xdr:cNvPr id="1" name="Chart 1" title="Grafikon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495300</xdr:colOff>
      <xdr:row>31</xdr:row>
      <xdr:rowOff>19050</xdr:rowOff>
    </xdr:from>
    <xdr:ext cx="6115050" cy="3752850"/>
    <xdr:graphicFrame>
      <xdr:nvGraphicFramePr>
        <xdr:cNvPr id="2" name="Chart 2" title="Grafikon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0</xdr:colOff>
      <xdr:row>49</xdr:row>
      <xdr:rowOff>190500</xdr:rowOff>
    </xdr:from>
    <xdr:ext cx="5324475" cy="3200400"/>
    <xdr:graphicFrame>
      <xdr:nvGraphicFramePr>
        <xdr:cNvPr id="3" name="Chart 3" title="Grafikon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5</xdr:col>
      <xdr:colOff>495300</xdr:colOff>
      <xdr:row>49</xdr:row>
      <xdr:rowOff>190500</xdr:rowOff>
    </xdr:from>
    <xdr:ext cx="6115050" cy="3200400"/>
    <xdr:graphicFrame>
      <xdr:nvGraphicFramePr>
        <xdr:cNvPr id="4" name="Chart 4" title="Grafikon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2" t="s">
        <v>17</v>
      </c>
      <c r="S1" s="2" t="s">
        <v>18</v>
      </c>
      <c r="T1" s="2" t="s">
        <v>19</v>
      </c>
    </row>
    <row r="2">
      <c r="A2" s="1">
        <v>-2.8125</v>
      </c>
      <c r="B2" s="1">
        <v>-0.312500009313226</v>
      </c>
      <c r="C2" s="1">
        <v>1.1346640586853</v>
      </c>
      <c r="D2" s="1">
        <v>23.0000019073486</v>
      </c>
      <c r="E2" s="1">
        <v>0.0</v>
      </c>
      <c r="F2" s="1">
        <v>0.911623631669106</v>
      </c>
      <c r="G2" s="1">
        <v>1.0</v>
      </c>
      <c r="H2" s="1">
        <v>0.911623631669106</v>
      </c>
      <c r="I2" s="1">
        <v>1.0</v>
      </c>
      <c r="J2" s="1">
        <v>2.0</v>
      </c>
      <c r="K2" s="1">
        <v>-6.0</v>
      </c>
      <c r="L2" s="1">
        <v>24.0</v>
      </c>
      <c r="M2" s="4">
        <f t="shared" ref="M2:M31" si="1">SQRT(I2*I2 + J2*J2)</f>
        <v>2.236067977</v>
      </c>
      <c r="N2" s="4">
        <f t="shared" ref="N2:N31" si="2">SQRT(A2*A2 + B2*B2) * 0.9</f>
        <v>2.546827071</v>
      </c>
      <c r="O2" s="4">
        <f t="shared" ref="O2:O31" si="3"> (M2 - N2)</f>
        <v>-0.3107590935</v>
      </c>
      <c r="P2" s="4">
        <f t="shared" ref="P2:P31" si="4"> O2 * O2</f>
        <v>0.09657121421</v>
      </c>
      <c r="Q2" s="5">
        <f t="shared" ref="Q2:Q31" si="5">MOD(ATAN(I2 / (J2 + 0.001)) / PI() * 360, 360)</f>
        <v>53.10719321</v>
      </c>
      <c r="R2" s="5">
        <f t="shared" ref="R2:R31" si="6">MOD(ATAN(B2 / (A2 + 0.001)) / PI() * 360, 360)</f>
        <v>12.6848573</v>
      </c>
      <c r="S2" s="5">
        <f t="shared" ref="S2:S31" si="7">Q2 - R2</f>
        <v>40.4223359</v>
      </c>
      <c r="T2" s="5">
        <f t="shared" ref="T2:T31" si="8"> R2 + S$32</f>
        <v>136.4002469</v>
      </c>
    </row>
    <row r="3">
      <c r="A3" s="1">
        <v>-1.37500002980232</v>
      </c>
      <c r="B3" s="1">
        <v>2.87499994039535</v>
      </c>
      <c r="C3" s="1">
        <v>1.08306121826172</v>
      </c>
      <c r="D3" s="1">
        <v>0.5</v>
      </c>
      <c r="E3" s="1">
        <v>0.0</v>
      </c>
      <c r="F3" s="1">
        <v>0.898006289104907</v>
      </c>
      <c r="G3" s="1">
        <v>1.0</v>
      </c>
      <c r="H3" s="1">
        <v>0.898006289104907</v>
      </c>
      <c r="I3" s="1">
        <v>5.0</v>
      </c>
      <c r="J3" s="1">
        <v>-2.0</v>
      </c>
      <c r="K3" s="1">
        <v>-4.0</v>
      </c>
      <c r="L3" s="1">
        <v>0.0</v>
      </c>
      <c r="M3" s="4">
        <f t="shared" si="1"/>
        <v>5.385164807</v>
      </c>
      <c r="N3" s="4">
        <f t="shared" si="2"/>
        <v>2.86819844</v>
      </c>
      <c r="O3" s="4">
        <f t="shared" si="3"/>
        <v>2.516966368</v>
      </c>
      <c r="P3" s="4">
        <f t="shared" si="4"/>
        <v>6.335119695</v>
      </c>
      <c r="Q3" s="5">
        <f t="shared" si="5"/>
        <v>223.5830604</v>
      </c>
      <c r="R3" s="5">
        <f t="shared" si="6"/>
        <v>231.0874896</v>
      </c>
      <c r="S3" s="5">
        <f t="shared" si="7"/>
        <v>-7.504429173</v>
      </c>
      <c r="T3" s="5">
        <f t="shared" si="8"/>
        <v>354.8028793</v>
      </c>
    </row>
    <row r="4">
      <c r="A4" s="1">
        <v>-0.87500000372529</v>
      </c>
      <c r="B4" s="1">
        <v>2.93750010430813</v>
      </c>
      <c r="C4" s="1">
        <v>1.10488831996918</v>
      </c>
      <c r="D4" s="1">
        <v>21.0014343261719</v>
      </c>
      <c r="E4" s="1">
        <v>0.0</v>
      </c>
      <c r="F4" s="1">
        <v>0.902922797035123</v>
      </c>
      <c r="G4" s="1">
        <v>1.0</v>
      </c>
      <c r="H4" s="1">
        <v>0.902922797035123</v>
      </c>
      <c r="I4" s="1">
        <v>4.0</v>
      </c>
      <c r="J4" s="1">
        <v>-5.0</v>
      </c>
      <c r="K4" s="1">
        <v>-5.0</v>
      </c>
      <c r="L4" s="1">
        <v>22.0</v>
      </c>
      <c r="M4" s="4">
        <f t="shared" si="1"/>
        <v>6.403124237</v>
      </c>
      <c r="N4" s="4">
        <f t="shared" si="2"/>
        <v>2.758545054</v>
      </c>
      <c r="O4" s="4">
        <f t="shared" si="3"/>
        <v>3.644579184</v>
      </c>
      <c r="P4" s="4">
        <f t="shared" si="4"/>
        <v>13.28295743</v>
      </c>
      <c r="Q4" s="5">
        <f t="shared" si="5"/>
        <v>282.6692025</v>
      </c>
      <c r="R4" s="5">
        <f t="shared" si="6"/>
        <v>213.1388421</v>
      </c>
      <c r="S4" s="5">
        <f t="shared" si="7"/>
        <v>69.53036037</v>
      </c>
      <c r="T4" s="5">
        <f t="shared" si="8"/>
        <v>336.8542317</v>
      </c>
    </row>
    <row r="5">
      <c r="A5" s="1">
        <v>-1.18749998509884</v>
      </c>
      <c r="B5" s="1">
        <v>6.93750008940697</v>
      </c>
      <c r="C5" s="1">
        <v>1.07284367084503</v>
      </c>
      <c r="D5" s="1">
        <v>6.50000047683716</v>
      </c>
      <c r="E5" s="1">
        <v>1.0</v>
      </c>
      <c r="F5" s="1">
        <v>1.0</v>
      </c>
      <c r="G5" s="1">
        <v>1.0</v>
      </c>
      <c r="H5" s="1">
        <v>0.773631450427936</v>
      </c>
      <c r="I5" s="1">
        <v>9.0</v>
      </c>
      <c r="J5" s="1">
        <v>-9.0</v>
      </c>
      <c r="K5" s="1">
        <v>-4.0</v>
      </c>
      <c r="L5" s="1">
        <v>6.0</v>
      </c>
      <c r="M5" s="4">
        <f t="shared" si="1"/>
        <v>12.72792206</v>
      </c>
      <c r="N5" s="4">
        <f t="shared" si="2"/>
        <v>6.334559306</v>
      </c>
      <c r="O5" s="4">
        <f t="shared" si="3"/>
        <v>6.393362755</v>
      </c>
      <c r="P5" s="4">
        <f t="shared" si="4"/>
        <v>40.87508732</v>
      </c>
      <c r="Q5" s="5">
        <f t="shared" si="5"/>
        <v>269.9936334</v>
      </c>
      <c r="R5" s="5">
        <f t="shared" si="6"/>
        <v>199.4104537</v>
      </c>
      <c r="S5" s="5">
        <f t="shared" si="7"/>
        <v>70.58317978</v>
      </c>
      <c r="T5" s="5">
        <f t="shared" si="8"/>
        <v>323.1258433</v>
      </c>
    </row>
    <row r="6">
      <c r="A6" s="1">
        <v>-0.654950330885368</v>
      </c>
      <c r="B6" s="1">
        <v>16.672669970337</v>
      </c>
      <c r="C6" s="1">
        <v>0.977485677751133</v>
      </c>
      <c r="D6" s="1">
        <v>27.494598865509</v>
      </c>
      <c r="E6" s="1">
        <v>2.0</v>
      </c>
      <c r="F6" s="1">
        <v>1.0</v>
      </c>
      <c r="G6" s="1">
        <v>0.0</v>
      </c>
      <c r="H6" s="1">
        <v>0.0</v>
      </c>
      <c r="I6" s="1">
        <v>14.0</v>
      </c>
      <c r="J6" s="1">
        <v>-12.0</v>
      </c>
      <c r="K6" s="1">
        <v>0.0</v>
      </c>
      <c r="L6" s="1">
        <v>28.0</v>
      </c>
      <c r="M6" s="4">
        <f t="shared" si="1"/>
        <v>18.43908891</v>
      </c>
      <c r="N6" s="4">
        <f t="shared" si="2"/>
        <v>15.01697626</v>
      </c>
      <c r="O6" s="4">
        <f t="shared" si="3"/>
        <v>3.422112656</v>
      </c>
      <c r="P6" s="4">
        <f t="shared" si="4"/>
        <v>11.71085503</v>
      </c>
      <c r="Q6" s="5">
        <f t="shared" si="5"/>
        <v>261.1978706</v>
      </c>
      <c r="R6" s="5">
        <f t="shared" si="6"/>
        <v>184.4923096</v>
      </c>
      <c r="S6" s="5">
        <f t="shared" si="7"/>
        <v>76.70556109</v>
      </c>
      <c r="T6" s="5">
        <f t="shared" si="8"/>
        <v>308.2076992</v>
      </c>
    </row>
    <row r="7">
      <c r="A7" s="1">
        <v>-1.11523467792888</v>
      </c>
      <c r="B7" s="1">
        <v>22.1274968464272</v>
      </c>
      <c r="C7" s="1">
        <v>0.997179980650226</v>
      </c>
      <c r="D7" s="1">
        <v>22.4946141242981</v>
      </c>
      <c r="E7" s="1">
        <v>3.0</v>
      </c>
      <c r="F7" s="1">
        <v>1.0</v>
      </c>
      <c r="G7" s="1">
        <v>1.0</v>
      </c>
      <c r="H7" s="1">
        <v>0.815185183051779</v>
      </c>
      <c r="I7" s="1">
        <v>19.0</v>
      </c>
      <c r="J7" s="1">
        <v>-16.0</v>
      </c>
      <c r="K7" s="1">
        <v>-1.0</v>
      </c>
      <c r="L7" s="1">
        <v>22.0</v>
      </c>
      <c r="M7" s="4">
        <f t="shared" si="1"/>
        <v>24.8394847</v>
      </c>
      <c r="N7" s="4">
        <f t="shared" si="2"/>
        <v>19.94002484</v>
      </c>
      <c r="O7" s="4">
        <f t="shared" si="3"/>
        <v>4.899459854</v>
      </c>
      <c r="P7" s="4">
        <f t="shared" si="4"/>
        <v>24.00470687</v>
      </c>
      <c r="Q7" s="5">
        <f t="shared" si="5"/>
        <v>260.1982862</v>
      </c>
      <c r="R7" s="5">
        <f t="shared" si="6"/>
        <v>185.7654119</v>
      </c>
      <c r="S7" s="5">
        <f t="shared" si="7"/>
        <v>74.43287433</v>
      </c>
      <c r="T7" s="5">
        <f t="shared" si="8"/>
        <v>309.4808016</v>
      </c>
    </row>
    <row r="8">
      <c r="A8" s="1">
        <v>2.72936731576795</v>
      </c>
      <c r="B8" s="1">
        <v>22.7991353565859</v>
      </c>
      <c r="C8" s="1">
        <v>1.10176473754938</v>
      </c>
      <c r="D8" s="1">
        <v>27.7878041267395</v>
      </c>
      <c r="E8" s="1">
        <v>3.0</v>
      </c>
      <c r="F8" s="1">
        <v>0.876038420561842</v>
      </c>
      <c r="G8" s="1">
        <v>2.0</v>
      </c>
      <c r="H8" s="1">
        <v>0.825813958097835</v>
      </c>
      <c r="I8" s="1">
        <v>17.0</v>
      </c>
      <c r="J8" s="1">
        <v>-19.0</v>
      </c>
      <c r="K8" s="1">
        <v>-6.0</v>
      </c>
      <c r="L8" s="1">
        <v>28.0</v>
      </c>
      <c r="M8" s="4">
        <f t="shared" si="1"/>
        <v>25.49509757</v>
      </c>
      <c r="N8" s="4">
        <f t="shared" si="2"/>
        <v>20.66573288</v>
      </c>
      <c r="O8" s="4">
        <f t="shared" si="3"/>
        <v>4.829364691</v>
      </c>
      <c r="P8" s="4">
        <f t="shared" si="4"/>
        <v>23.32276332</v>
      </c>
      <c r="Q8" s="5">
        <f t="shared" si="5"/>
        <v>276.3566631</v>
      </c>
      <c r="R8" s="5">
        <f t="shared" si="6"/>
        <v>166.3418486</v>
      </c>
      <c r="S8" s="5">
        <f t="shared" si="7"/>
        <v>110.0148145</v>
      </c>
      <c r="T8" s="5">
        <f t="shared" si="8"/>
        <v>290.0572383</v>
      </c>
    </row>
    <row r="9">
      <c r="A9" s="1">
        <v>6.72956747788178</v>
      </c>
      <c r="B9" s="1">
        <v>23.476588319637</v>
      </c>
      <c r="C9" s="1">
        <v>1.10175468255997</v>
      </c>
      <c r="D9" s="1">
        <v>9.51860094070435</v>
      </c>
      <c r="E9" s="1">
        <v>4.0</v>
      </c>
      <c r="F9" s="1">
        <v>1.0</v>
      </c>
      <c r="G9" s="1">
        <v>1.0</v>
      </c>
      <c r="H9" s="1">
        <v>0.747174587095052</v>
      </c>
      <c r="I9" s="1">
        <v>16.0</v>
      </c>
      <c r="J9" s="1">
        <v>-23.0</v>
      </c>
      <c r="K9" s="1">
        <v>-6.0</v>
      </c>
      <c r="L9" s="1">
        <v>9.0</v>
      </c>
      <c r="M9" s="4">
        <f t="shared" si="1"/>
        <v>28.01785145</v>
      </c>
      <c r="N9" s="4">
        <f t="shared" si="2"/>
        <v>21.97985884</v>
      </c>
      <c r="O9" s="4">
        <f t="shared" si="3"/>
        <v>6.037992608</v>
      </c>
      <c r="P9" s="4">
        <f t="shared" si="4"/>
        <v>36.45735473</v>
      </c>
      <c r="Q9" s="5">
        <f t="shared" si="5"/>
        <v>290.348686</v>
      </c>
      <c r="R9" s="5">
        <f t="shared" si="6"/>
        <v>148.0055743</v>
      </c>
      <c r="S9" s="5">
        <f t="shared" si="7"/>
        <v>142.3431117</v>
      </c>
      <c r="T9" s="5">
        <f t="shared" si="8"/>
        <v>271.7209639</v>
      </c>
    </row>
    <row r="10">
      <c r="A10" s="1">
        <v>6.70538118396867</v>
      </c>
      <c r="B10" s="1">
        <v>29.1094596574195</v>
      </c>
      <c r="C10" s="1">
        <v>0.983995717155861</v>
      </c>
      <c r="D10" s="1">
        <v>8.51858568191528</v>
      </c>
      <c r="E10" s="1">
        <v>5.0</v>
      </c>
      <c r="F10" s="1">
        <v>1.0</v>
      </c>
      <c r="G10" s="1">
        <v>1.0</v>
      </c>
      <c r="H10" s="1">
        <v>0.81995534193711</v>
      </c>
      <c r="I10" s="1">
        <v>20.0</v>
      </c>
      <c r="J10" s="1">
        <v>-27.0</v>
      </c>
      <c r="K10" s="1">
        <v>-1.0</v>
      </c>
      <c r="L10" s="1">
        <v>8.0</v>
      </c>
      <c r="M10" s="4">
        <f t="shared" si="1"/>
        <v>33.60059523</v>
      </c>
      <c r="N10" s="4">
        <f t="shared" si="2"/>
        <v>26.88459504</v>
      </c>
      <c r="O10" s="4">
        <f t="shared" si="3"/>
        <v>6.716000193</v>
      </c>
      <c r="P10" s="4">
        <f t="shared" si="4"/>
        <v>45.10465859</v>
      </c>
      <c r="Q10" s="5">
        <f t="shared" si="5"/>
        <v>286.9402593</v>
      </c>
      <c r="R10" s="5">
        <f t="shared" si="6"/>
        <v>154.0525796</v>
      </c>
      <c r="S10" s="5">
        <f t="shared" si="7"/>
        <v>132.8876797</v>
      </c>
      <c r="T10" s="5">
        <f t="shared" si="8"/>
        <v>277.7679692</v>
      </c>
    </row>
    <row r="11">
      <c r="A11" s="1">
        <v>2.80247653585365</v>
      </c>
      <c r="B11" s="1">
        <v>32.4424273138647</v>
      </c>
      <c r="C11" s="1">
        <v>0.964561568077584</v>
      </c>
      <c r="D11" s="1">
        <v>8.51860094070435</v>
      </c>
      <c r="E11" s="1">
        <v>6.0</v>
      </c>
      <c r="F11" s="1">
        <v>1.0</v>
      </c>
      <c r="G11" s="1">
        <v>1.0</v>
      </c>
      <c r="H11" s="1">
        <v>0.824404056395123</v>
      </c>
      <c r="I11" s="1">
        <v>25.0</v>
      </c>
      <c r="J11" s="1">
        <v>-30.0</v>
      </c>
      <c r="K11" s="1">
        <v>0.0</v>
      </c>
      <c r="L11" s="1">
        <v>8.0</v>
      </c>
      <c r="M11" s="4">
        <f t="shared" si="1"/>
        <v>39.05124838</v>
      </c>
      <c r="N11" s="4">
        <f t="shared" si="2"/>
        <v>29.30692105</v>
      </c>
      <c r="O11" s="4">
        <f t="shared" si="3"/>
        <v>9.744327329</v>
      </c>
      <c r="P11" s="4">
        <f t="shared" si="4"/>
        <v>94.9519151</v>
      </c>
      <c r="Q11" s="5">
        <f t="shared" si="5"/>
        <v>280.3869792</v>
      </c>
      <c r="R11" s="5">
        <f t="shared" si="6"/>
        <v>170.1222351</v>
      </c>
      <c r="S11" s="5">
        <f t="shared" si="7"/>
        <v>110.2647441</v>
      </c>
      <c r="T11" s="5">
        <f t="shared" si="8"/>
        <v>293.8376248</v>
      </c>
    </row>
    <row r="12">
      <c r="A12" s="1">
        <v>3.65114364671932</v>
      </c>
      <c r="B12" s="1">
        <v>30.9315563689501</v>
      </c>
      <c r="C12" s="1">
        <v>0.955029686086796</v>
      </c>
      <c r="D12" s="1">
        <v>18.6322026252747</v>
      </c>
      <c r="E12" s="1">
        <v>6.0</v>
      </c>
      <c r="F12" s="1">
        <v>0.939816803677958</v>
      </c>
      <c r="G12" s="1">
        <v>3.0</v>
      </c>
      <c r="H12" s="1">
        <v>0.852036954050907</v>
      </c>
      <c r="I12" s="1">
        <v>23.0</v>
      </c>
      <c r="J12" s="1">
        <v>-33.0</v>
      </c>
      <c r="K12" s="1">
        <v>0.0</v>
      </c>
      <c r="L12" s="1">
        <v>19.0</v>
      </c>
      <c r="M12" s="4">
        <f t="shared" si="1"/>
        <v>40.22437072</v>
      </c>
      <c r="N12" s="4">
        <f t="shared" si="2"/>
        <v>28.03167037</v>
      </c>
      <c r="O12" s="4">
        <f t="shared" si="3"/>
        <v>12.19270035</v>
      </c>
      <c r="P12" s="4">
        <f t="shared" si="4"/>
        <v>148.6619419</v>
      </c>
      <c r="Q12" s="5">
        <f t="shared" si="5"/>
        <v>290.2477143</v>
      </c>
      <c r="R12" s="5">
        <f t="shared" si="6"/>
        <v>166.5323247</v>
      </c>
      <c r="S12" s="5">
        <f t="shared" si="7"/>
        <v>123.7153896</v>
      </c>
      <c r="T12" s="5">
        <f t="shared" si="8"/>
        <v>290.2477143</v>
      </c>
    </row>
    <row r="13">
      <c r="A13" s="1">
        <v>10.7810776442694</v>
      </c>
      <c r="B13" s="1">
        <v>34.3395255678724</v>
      </c>
      <c r="C13" s="1">
        <v>1.06874971560921</v>
      </c>
      <c r="D13" s="1">
        <v>12.1444706916809</v>
      </c>
      <c r="E13" s="1">
        <v>7.0</v>
      </c>
      <c r="F13" s="1">
        <v>1.0</v>
      </c>
      <c r="G13" s="1">
        <v>2.0</v>
      </c>
      <c r="H13" s="1">
        <v>0.757884782460704</v>
      </c>
      <c r="I13" s="1">
        <v>22.0</v>
      </c>
      <c r="J13" s="1">
        <v>-36.0</v>
      </c>
      <c r="K13" s="1">
        <v>-6.0</v>
      </c>
      <c r="L13" s="1">
        <v>12.0</v>
      </c>
      <c r="M13" s="4">
        <f t="shared" si="1"/>
        <v>42.19004622</v>
      </c>
      <c r="N13" s="4">
        <f t="shared" si="2"/>
        <v>32.39293237</v>
      </c>
      <c r="O13" s="4">
        <f t="shared" si="3"/>
        <v>9.797113848</v>
      </c>
      <c r="P13" s="4">
        <f t="shared" si="4"/>
        <v>95.98343975</v>
      </c>
      <c r="Q13" s="5">
        <f t="shared" si="5"/>
        <v>297.1394524</v>
      </c>
      <c r="R13" s="5">
        <f t="shared" si="6"/>
        <v>145.137043</v>
      </c>
      <c r="S13" s="5">
        <f t="shared" si="7"/>
        <v>152.0024095</v>
      </c>
      <c r="T13" s="5">
        <f t="shared" si="8"/>
        <v>268.8524326</v>
      </c>
    </row>
    <row r="14">
      <c r="A14" s="1">
        <v>16.741307449629</v>
      </c>
      <c r="B14" s="1">
        <v>37.7755870014905</v>
      </c>
      <c r="C14" s="1">
        <v>1.01041821288331</v>
      </c>
      <c r="D14" s="1">
        <v>8.6500551700592</v>
      </c>
      <c r="E14" s="1">
        <v>8.0</v>
      </c>
      <c r="F14" s="1">
        <v>1.0</v>
      </c>
      <c r="G14" s="1">
        <v>1.0</v>
      </c>
      <c r="H14" s="1">
        <v>0.779407186487785</v>
      </c>
      <c r="I14" s="1">
        <v>21.0</v>
      </c>
      <c r="J14" s="1">
        <v>-40.0</v>
      </c>
      <c r="K14" s="1">
        <v>-4.0</v>
      </c>
      <c r="L14" s="1">
        <v>8.0</v>
      </c>
      <c r="M14" s="4">
        <f t="shared" si="1"/>
        <v>45.17742799</v>
      </c>
      <c r="N14" s="4">
        <f t="shared" si="2"/>
        <v>37.18717174</v>
      </c>
      <c r="O14" s="4">
        <f t="shared" si="3"/>
        <v>7.99025625</v>
      </c>
      <c r="P14" s="4">
        <f t="shared" si="4"/>
        <v>63.84419493</v>
      </c>
      <c r="Q14" s="5">
        <f t="shared" si="5"/>
        <v>304.5998753</v>
      </c>
      <c r="R14" s="5">
        <f t="shared" si="6"/>
        <v>132.1937336</v>
      </c>
      <c r="S14" s="5">
        <f t="shared" si="7"/>
        <v>172.4061417</v>
      </c>
      <c r="T14" s="5">
        <f t="shared" si="8"/>
        <v>255.9091232</v>
      </c>
    </row>
    <row r="15">
      <c r="A15" s="1">
        <v>27.7502444191262</v>
      </c>
      <c r="B15" s="1">
        <v>48.8980284238115</v>
      </c>
      <c r="C15" s="1">
        <v>0.920098153716756</v>
      </c>
      <c r="D15" s="1">
        <v>5.6380922794342</v>
      </c>
      <c r="E15" s="1">
        <v>9.0</v>
      </c>
      <c r="F15" s="1">
        <v>1.0</v>
      </c>
      <c r="G15" s="1">
        <v>0.0</v>
      </c>
      <c r="H15" s="1">
        <v>0.0</v>
      </c>
      <c r="I15" s="1">
        <v>20.0</v>
      </c>
      <c r="J15" s="1">
        <v>-43.0</v>
      </c>
      <c r="K15" s="1">
        <v>0.0</v>
      </c>
      <c r="L15" s="1">
        <v>4.0</v>
      </c>
      <c r="M15" s="4">
        <f t="shared" si="1"/>
        <v>47.42362281</v>
      </c>
      <c r="N15" s="4">
        <f t="shared" si="2"/>
        <v>50.60124042</v>
      </c>
      <c r="O15" s="4">
        <f t="shared" si="3"/>
        <v>-3.177617611</v>
      </c>
      <c r="P15" s="4">
        <f t="shared" si="4"/>
        <v>10.09725368</v>
      </c>
      <c r="Q15" s="5">
        <f t="shared" si="5"/>
        <v>310.1111704</v>
      </c>
      <c r="R15" s="5">
        <f t="shared" si="6"/>
        <v>120.8473193</v>
      </c>
      <c r="S15" s="5">
        <f t="shared" si="7"/>
        <v>189.2638511</v>
      </c>
      <c r="T15" s="5">
        <f t="shared" si="8"/>
        <v>244.562709</v>
      </c>
    </row>
    <row r="16">
      <c r="A16" s="1">
        <v>31.515763577274</v>
      </c>
      <c r="B16" s="1">
        <v>49.4745417305225</v>
      </c>
      <c r="C16" s="1">
        <v>1.04400230548511</v>
      </c>
      <c r="D16" s="1">
        <v>12.1380927562714</v>
      </c>
      <c r="E16" s="1">
        <v>9.0</v>
      </c>
      <c r="F16" s="1">
        <v>0.870699195028153</v>
      </c>
      <c r="G16" s="1">
        <v>1.0</v>
      </c>
      <c r="H16" s="1">
        <v>0.870699195028153</v>
      </c>
      <c r="I16" s="1">
        <v>18.0</v>
      </c>
      <c r="J16" s="1">
        <v>-47.0</v>
      </c>
      <c r="K16" s="1">
        <v>-6.0</v>
      </c>
      <c r="L16" s="1">
        <v>11.0</v>
      </c>
      <c r="M16" s="4">
        <f t="shared" si="1"/>
        <v>50.32891813</v>
      </c>
      <c r="N16" s="4">
        <f t="shared" si="2"/>
        <v>52.79383149</v>
      </c>
      <c r="O16" s="4">
        <f t="shared" si="3"/>
        <v>-2.464913357</v>
      </c>
      <c r="P16" s="4">
        <f t="shared" si="4"/>
        <v>6.075797859</v>
      </c>
      <c r="Q16" s="5">
        <f t="shared" si="5"/>
        <v>318.0876322</v>
      </c>
      <c r="R16" s="5">
        <f t="shared" si="6"/>
        <v>115.0032879</v>
      </c>
      <c r="S16" s="5">
        <f t="shared" si="7"/>
        <v>203.0843443</v>
      </c>
      <c r="T16" s="5">
        <f t="shared" si="8"/>
        <v>238.7186775</v>
      </c>
    </row>
    <row r="17">
      <c r="A17" s="1">
        <v>36.8151736346485</v>
      </c>
      <c r="B17" s="1">
        <v>49.7246797817697</v>
      </c>
      <c r="C17" s="1">
        <v>0.926236522928263</v>
      </c>
      <c r="D17" s="1">
        <v>28.6380941867828</v>
      </c>
      <c r="E17" s="1">
        <v>10.0</v>
      </c>
      <c r="F17" s="1">
        <v>1.0</v>
      </c>
      <c r="G17" s="1">
        <v>0.0</v>
      </c>
      <c r="H17" s="1">
        <v>0.0</v>
      </c>
      <c r="I17" s="1">
        <v>16.0</v>
      </c>
      <c r="J17" s="1">
        <v>-50.0</v>
      </c>
      <c r="K17" s="1">
        <v>-1.0</v>
      </c>
      <c r="L17" s="1">
        <v>28.0</v>
      </c>
      <c r="M17" s="4">
        <f t="shared" si="1"/>
        <v>52.49761899</v>
      </c>
      <c r="N17" s="4">
        <f t="shared" si="2"/>
        <v>55.68302829</v>
      </c>
      <c r="O17" s="4">
        <f t="shared" si="3"/>
        <v>-3.185409293</v>
      </c>
      <c r="P17" s="4">
        <f t="shared" si="4"/>
        <v>10.14683237</v>
      </c>
      <c r="Q17" s="5">
        <f t="shared" si="5"/>
        <v>324.5099915</v>
      </c>
      <c r="R17" s="5">
        <f t="shared" si="6"/>
        <v>106.9674747</v>
      </c>
      <c r="S17" s="5">
        <f t="shared" si="7"/>
        <v>217.5425168</v>
      </c>
      <c r="T17" s="5">
        <f t="shared" si="8"/>
        <v>230.6828643</v>
      </c>
    </row>
    <row r="18">
      <c r="A18" s="1">
        <v>37.3168613550593</v>
      </c>
      <c r="B18" s="1">
        <v>59.2244593672634</v>
      </c>
      <c r="C18" s="1">
        <v>0.932415843832179</v>
      </c>
      <c r="D18" s="1">
        <v>15.1380932331085</v>
      </c>
      <c r="E18" s="1">
        <v>11.0</v>
      </c>
      <c r="F18" s="1">
        <v>1.0</v>
      </c>
      <c r="G18" s="1">
        <v>0.0</v>
      </c>
      <c r="H18" s="1">
        <v>0.0</v>
      </c>
      <c r="I18" s="1">
        <v>21.0</v>
      </c>
      <c r="J18" s="1">
        <v>-54.0</v>
      </c>
      <c r="K18" s="1">
        <v>-1.0</v>
      </c>
      <c r="L18" s="1">
        <v>14.0</v>
      </c>
      <c r="M18" s="4">
        <f t="shared" si="1"/>
        <v>57.93962375</v>
      </c>
      <c r="N18" s="4">
        <f t="shared" si="2"/>
        <v>63.00054468</v>
      </c>
      <c r="O18" s="4">
        <f t="shared" si="3"/>
        <v>-5.060920935</v>
      </c>
      <c r="P18" s="4">
        <f t="shared" si="4"/>
        <v>25.61292071</v>
      </c>
      <c r="Q18" s="5">
        <f t="shared" si="5"/>
        <v>317.4982721</v>
      </c>
      <c r="R18" s="5">
        <f t="shared" si="6"/>
        <v>115.5692083</v>
      </c>
      <c r="S18" s="5">
        <f t="shared" si="7"/>
        <v>201.9290639</v>
      </c>
      <c r="T18" s="5">
        <f t="shared" si="8"/>
        <v>239.2845979</v>
      </c>
    </row>
    <row r="19">
      <c r="A19" s="1">
        <v>40.5680212820646</v>
      </c>
      <c r="B19" s="1">
        <v>59.2707102661994</v>
      </c>
      <c r="C19" s="1">
        <v>1.03021037333602</v>
      </c>
      <c r="D19" s="1">
        <v>12.6380932331085</v>
      </c>
      <c r="E19" s="1">
        <v>11.0</v>
      </c>
      <c r="F19" s="1">
        <v>0.889553128223907</v>
      </c>
      <c r="G19" s="1">
        <v>1.0</v>
      </c>
      <c r="H19" s="1">
        <v>0.889553128223907</v>
      </c>
      <c r="I19" s="1">
        <v>20.0</v>
      </c>
      <c r="J19" s="1">
        <v>-57.0</v>
      </c>
      <c r="K19" s="1">
        <v>-5.0</v>
      </c>
      <c r="L19" s="1">
        <v>11.0</v>
      </c>
      <c r="M19" s="4">
        <f t="shared" si="1"/>
        <v>60.40695324</v>
      </c>
      <c r="N19" s="4">
        <f t="shared" si="2"/>
        <v>64.64219188</v>
      </c>
      <c r="O19" s="4">
        <f t="shared" si="3"/>
        <v>-4.235238641</v>
      </c>
      <c r="P19" s="4">
        <f t="shared" si="4"/>
        <v>17.93724634</v>
      </c>
      <c r="Q19" s="5">
        <f t="shared" si="5"/>
        <v>321.3297548</v>
      </c>
      <c r="R19" s="5">
        <f t="shared" si="6"/>
        <v>111.2190629</v>
      </c>
      <c r="S19" s="5">
        <f t="shared" si="7"/>
        <v>210.1106919</v>
      </c>
      <c r="T19" s="5">
        <f t="shared" si="8"/>
        <v>234.9344525</v>
      </c>
    </row>
    <row r="20">
      <c r="A20" s="1">
        <v>41.087506299415</v>
      </c>
      <c r="B20" s="1">
        <v>66.0774898818568</v>
      </c>
      <c r="C20" s="1">
        <v>0.932415843832179</v>
      </c>
      <c r="D20" s="1">
        <v>18.1380934715271</v>
      </c>
      <c r="E20" s="1">
        <v>12.0</v>
      </c>
      <c r="F20" s="1">
        <v>1.0</v>
      </c>
      <c r="G20" s="1">
        <v>1.0</v>
      </c>
      <c r="H20" s="1">
        <v>0.720372298979232</v>
      </c>
      <c r="I20" s="1">
        <v>24.0</v>
      </c>
      <c r="J20" s="1">
        <v>-61.0</v>
      </c>
      <c r="K20" s="1">
        <v>-1.0</v>
      </c>
      <c r="L20" s="1">
        <v>17.0</v>
      </c>
      <c r="M20" s="4">
        <f t="shared" si="1"/>
        <v>65.55150647</v>
      </c>
      <c r="N20" s="4">
        <f t="shared" si="2"/>
        <v>70.02912575</v>
      </c>
      <c r="O20" s="4">
        <f t="shared" si="3"/>
        <v>-4.47761928</v>
      </c>
      <c r="P20" s="4">
        <f t="shared" si="4"/>
        <v>20.04907442</v>
      </c>
      <c r="Q20" s="5">
        <f t="shared" si="5"/>
        <v>317.045778</v>
      </c>
      <c r="R20" s="5">
        <f t="shared" si="6"/>
        <v>116.2513974</v>
      </c>
      <c r="S20" s="5">
        <f t="shared" si="7"/>
        <v>200.7943806</v>
      </c>
      <c r="T20" s="5">
        <f t="shared" si="8"/>
        <v>239.966787</v>
      </c>
    </row>
    <row r="21">
      <c r="A21" s="1">
        <v>40.9710896276272</v>
      </c>
      <c r="B21" s="1">
        <v>72.2464434810668</v>
      </c>
      <c r="C21" s="1">
        <v>1.0579750777083</v>
      </c>
      <c r="D21" s="1">
        <v>27.1380934715271</v>
      </c>
      <c r="E21" s="1">
        <v>13.0</v>
      </c>
      <c r="F21" s="1">
        <v>1.0</v>
      </c>
      <c r="G21" s="1">
        <v>1.0</v>
      </c>
      <c r="H21" s="1">
        <v>0.793338688518595</v>
      </c>
      <c r="I21" s="1">
        <v>28.0</v>
      </c>
      <c r="J21" s="1">
        <v>-64.0</v>
      </c>
      <c r="K21" s="1">
        <v>-6.0</v>
      </c>
      <c r="L21" s="1">
        <v>26.0</v>
      </c>
      <c r="M21" s="4">
        <f t="shared" si="1"/>
        <v>69.85699679</v>
      </c>
      <c r="N21" s="4">
        <f t="shared" si="2"/>
        <v>74.74974791</v>
      </c>
      <c r="O21" s="4">
        <f t="shared" si="3"/>
        <v>-4.892751123</v>
      </c>
      <c r="P21" s="4">
        <f t="shared" si="4"/>
        <v>23.93901356</v>
      </c>
      <c r="Q21" s="5">
        <f t="shared" si="5"/>
        <v>312.740587</v>
      </c>
      <c r="R21" s="5">
        <f t="shared" si="6"/>
        <v>120.8834977</v>
      </c>
      <c r="S21" s="5">
        <f t="shared" si="7"/>
        <v>191.8570894</v>
      </c>
      <c r="T21" s="5">
        <f t="shared" si="8"/>
        <v>244.5988873</v>
      </c>
    </row>
    <row r="22">
      <c r="A22" s="1">
        <v>41.1855907951143</v>
      </c>
      <c r="B22" s="1">
        <v>79.8576984296469</v>
      </c>
      <c r="C22" s="1">
        <v>0.913997287832618</v>
      </c>
      <c r="D22" s="1">
        <v>18.6380934715271</v>
      </c>
      <c r="E22" s="1">
        <v>14.0</v>
      </c>
      <c r="F22" s="1">
        <v>1.0</v>
      </c>
      <c r="G22" s="1">
        <v>1.0</v>
      </c>
      <c r="H22" s="1">
        <v>0.742583380691233</v>
      </c>
      <c r="I22" s="1">
        <v>32.0</v>
      </c>
      <c r="J22" s="1">
        <v>-67.0</v>
      </c>
      <c r="K22" s="1">
        <v>0.0</v>
      </c>
      <c r="L22" s="1">
        <v>17.0</v>
      </c>
      <c r="M22" s="4">
        <f t="shared" si="1"/>
        <v>74.24957912</v>
      </c>
      <c r="N22" s="4">
        <f t="shared" si="2"/>
        <v>80.86741593</v>
      </c>
      <c r="O22" s="4">
        <f t="shared" si="3"/>
        <v>-6.617836805</v>
      </c>
      <c r="P22" s="4">
        <f t="shared" si="4"/>
        <v>43.79576398</v>
      </c>
      <c r="Q22" s="5">
        <f t="shared" si="5"/>
        <v>308.9399389</v>
      </c>
      <c r="R22" s="5">
        <f t="shared" si="6"/>
        <v>125.4351778</v>
      </c>
      <c r="S22" s="5">
        <f t="shared" si="7"/>
        <v>183.5047611</v>
      </c>
      <c r="T22" s="5">
        <f t="shared" si="8"/>
        <v>249.1505674</v>
      </c>
    </row>
    <row r="23">
      <c r="A23" s="1">
        <v>41.4489899722457</v>
      </c>
      <c r="B23" s="1">
        <v>84.8537970681699</v>
      </c>
      <c r="C23" s="1">
        <v>1.03707965432558</v>
      </c>
      <c r="D23" s="1">
        <v>23.6381087303162</v>
      </c>
      <c r="E23" s="1">
        <v>15.0</v>
      </c>
      <c r="F23" s="1">
        <v>1.0</v>
      </c>
      <c r="G23" s="1">
        <v>1.0</v>
      </c>
      <c r="H23" s="1">
        <v>0.829050406548848</v>
      </c>
      <c r="I23" s="1">
        <v>36.0</v>
      </c>
      <c r="J23" s="1">
        <v>-70.0</v>
      </c>
      <c r="K23" s="1">
        <v>-5.0</v>
      </c>
      <c r="L23" s="1">
        <v>22.0</v>
      </c>
      <c r="M23" s="4">
        <f t="shared" si="1"/>
        <v>78.71467462</v>
      </c>
      <c r="N23" s="4">
        <f t="shared" si="2"/>
        <v>84.99253128</v>
      </c>
      <c r="O23" s="4">
        <f t="shared" si="3"/>
        <v>-6.277856666</v>
      </c>
      <c r="P23" s="4">
        <f t="shared" si="4"/>
        <v>39.41148431</v>
      </c>
      <c r="Q23" s="5">
        <f t="shared" si="5"/>
        <v>305.5671111</v>
      </c>
      <c r="R23" s="5">
        <f t="shared" si="6"/>
        <v>127.9301701</v>
      </c>
      <c r="S23" s="5">
        <f t="shared" si="7"/>
        <v>177.636941</v>
      </c>
      <c r="T23" s="5">
        <f t="shared" si="8"/>
        <v>251.6455597</v>
      </c>
    </row>
    <row r="24">
      <c r="A24" s="1">
        <v>44.9822493681667</v>
      </c>
      <c r="B24" s="1">
        <v>85.6801225423608</v>
      </c>
      <c r="C24" s="1">
        <v>1.05797488793585</v>
      </c>
      <c r="D24" s="1">
        <v>19.8881086111069</v>
      </c>
      <c r="E24" s="1">
        <v>15.0</v>
      </c>
      <c r="F24" s="1">
        <v>0.884534439811302</v>
      </c>
      <c r="G24" s="1">
        <v>2.0</v>
      </c>
      <c r="H24" s="1">
        <v>0.824772046116934</v>
      </c>
      <c r="I24" s="1">
        <v>34.0</v>
      </c>
      <c r="J24" s="1">
        <v>-73.0</v>
      </c>
      <c r="K24" s="1">
        <v>-6.0</v>
      </c>
      <c r="L24" s="1">
        <v>18.0</v>
      </c>
      <c r="M24" s="4">
        <f t="shared" si="1"/>
        <v>80.5294977</v>
      </c>
      <c r="N24" s="4">
        <f t="shared" si="2"/>
        <v>87.09324766</v>
      </c>
      <c r="O24" s="4">
        <f t="shared" si="3"/>
        <v>-6.563749955</v>
      </c>
      <c r="P24" s="4">
        <f t="shared" si="4"/>
        <v>43.08281347</v>
      </c>
      <c r="Q24" s="5">
        <f t="shared" si="5"/>
        <v>310.0515774</v>
      </c>
      <c r="R24" s="5">
        <f t="shared" si="6"/>
        <v>124.5998119</v>
      </c>
      <c r="S24" s="5">
        <f t="shared" si="7"/>
        <v>185.4517655</v>
      </c>
      <c r="T24" s="5">
        <f t="shared" si="8"/>
        <v>248.3152016</v>
      </c>
    </row>
    <row r="25">
      <c r="A25" s="1">
        <v>49.3680273053787</v>
      </c>
      <c r="B25" s="1">
        <v>88.2540277236228</v>
      </c>
      <c r="C25" s="1">
        <v>0.920137370368166</v>
      </c>
      <c r="D25" s="1">
        <v>9.63826131820679</v>
      </c>
      <c r="E25" s="1">
        <v>16.0</v>
      </c>
      <c r="F25" s="1">
        <v>1.0</v>
      </c>
      <c r="G25" s="1">
        <v>1.0</v>
      </c>
      <c r="H25" s="1">
        <v>0.706448419553269</v>
      </c>
      <c r="I25" s="1">
        <v>33.0</v>
      </c>
      <c r="J25" s="1">
        <v>-76.0</v>
      </c>
      <c r="K25" s="1">
        <v>-1.0</v>
      </c>
      <c r="L25" s="1">
        <v>7.0</v>
      </c>
      <c r="M25" s="4">
        <f t="shared" si="1"/>
        <v>82.85529555</v>
      </c>
      <c r="N25" s="4">
        <f t="shared" si="2"/>
        <v>91.01120908</v>
      </c>
      <c r="O25" s="4">
        <f t="shared" si="3"/>
        <v>-8.155913538</v>
      </c>
      <c r="P25" s="4">
        <f t="shared" si="4"/>
        <v>66.51892564</v>
      </c>
      <c r="Q25" s="5">
        <f t="shared" si="5"/>
        <v>313.0574629</v>
      </c>
      <c r="R25" s="5">
        <f t="shared" si="6"/>
        <v>121.5549743</v>
      </c>
      <c r="S25" s="5">
        <f t="shared" si="7"/>
        <v>191.5024886</v>
      </c>
      <c r="T25" s="5">
        <f t="shared" si="8"/>
        <v>245.270364</v>
      </c>
    </row>
    <row r="26">
      <c r="A26" s="1">
        <v>54.3285769250805</v>
      </c>
      <c r="B26" s="1">
        <v>87.4429188304443</v>
      </c>
      <c r="C26" s="1">
        <v>1.05101204977035</v>
      </c>
      <c r="D26" s="1">
        <v>25.1382613182068</v>
      </c>
      <c r="E26" s="1">
        <v>17.0</v>
      </c>
      <c r="F26" s="1">
        <v>1.0</v>
      </c>
      <c r="G26" s="1">
        <v>1.0</v>
      </c>
      <c r="H26" s="1">
        <v>0.830000197306038</v>
      </c>
      <c r="I26" s="1">
        <v>31.0</v>
      </c>
      <c r="J26" s="1">
        <v>-79.0</v>
      </c>
      <c r="K26" s="1">
        <v>-6.0</v>
      </c>
      <c r="L26" s="1">
        <v>23.0</v>
      </c>
      <c r="M26" s="4">
        <f t="shared" si="1"/>
        <v>84.86459804</v>
      </c>
      <c r="N26" s="4">
        <f t="shared" si="2"/>
        <v>92.65130999</v>
      </c>
      <c r="O26" s="4">
        <f t="shared" si="3"/>
        <v>-7.786711952</v>
      </c>
      <c r="P26" s="4">
        <f t="shared" si="4"/>
        <v>60.63288302</v>
      </c>
      <c r="Q26" s="5">
        <f t="shared" si="5"/>
        <v>317.1489192</v>
      </c>
      <c r="R26" s="5">
        <f t="shared" si="6"/>
        <v>116.2934105</v>
      </c>
      <c r="S26" s="5">
        <f t="shared" si="7"/>
        <v>200.8555087</v>
      </c>
      <c r="T26" s="5">
        <f t="shared" si="8"/>
        <v>240.0088001</v>
      </c>
    </row>
    <row r="27">
      <c r="A27" s="1">
        <v>58.8307791907192</v>
      </c>
      <c r="B27" s="1">
        <v>88.7673143849425</v>
      </c>
      <c r="C27" s="1">
        <v>0.920060653875446</v>
      </c>
      <c r="D27" s="1">
        <v>15.1383833885193</v>
      </c>
      <c r="E27" s="1">
        <v>18.0</v>
      </c>
      <c r="F27" s="1">
        <v>1.0</v>
      </c>
      <c r="G27" s="1">
        <v>1.0</v>
      </c>
      <c r="H27" s="1">
        <v>0.841272306331098</v>
      </c>
      <c r="I27" s="1">
        <v>29.0</v>
      </c>
      <c r="J27" s="1">
        <v>-83.0</v>
      </c>
      <c r="K27" s="1">
        <v>-1.0</v>
      </c>
      <c r="L27" s="1">
        <v>13.0</v>
      </c>
      <c r="M27" s="4">
        <f t="shared" si="1"/>
        <v>87.92041856</v>
      </c>
      <c r="N27" s="4">
        <f t="shared" si="2"/>
        <v>95.84343647</v>
      </c>
      <c r="O27" s="4">
        <f t="shared" si="3"/>
        <v>-7.923017904</v>
      </c>
      <c r="P27" s="4">
        <f t="shared" si="4"/>
        <v>62.77421271</v>
      </c>
      <c r="Q27" s="5">
        <f t="shared" si="5"/>
        <v>321.4809868</v>
      </c>
      <c r="R27" s="5">
        <f t="shared" si="6"/>
        <v>112.9300327</v>
      </c>
      <c r="S27" s="5">
        <f t="shared" si="7"/>
        <v>208.5509541</v>
      </c>
      <c r="T27" s="5">
        <f t="shared" si="8"/>
        <v>236.6454223</v>
      </c>
    </row>
    <row r="28">
      <c r="A28" s="1">
        <v>63.3036727586838</v>
      </c>
      <c r="B28" s="1">
        <v>90.9626221240325</v>
      </c>
      <c r="C28" s="1">
        <v>1.01655933454022</v>
      </c>
      <c r="D28" s="1">
        <v>8.13838291168213</v>
      </c>
      <c r="E28" s="1">
        <v>19.0</v>
      </c>
      <c r="F28" s="1">
        <v>1.0</v>
      </c>
      <c r="G28" s="1">
        <v>1.0</v>
      </c>
      <c r="H28" s="1">
        <v>0.828478311166638</v>
      </c>
      <c r="I28" s="1">
        <v>28.0</v>
      </c>
      <c r="J28" s="1">
        <v>-86.0</v>
      </c>
      <c r="K28" s="1">
        <v>-5.0</v>
      </c>
      <c r="L28" s="1">
        <v>5.0</v>
      </c>
      <c r="M28" s="4">
        <f t="shared" si="1"/>
        <v>90.44335244</v>
      </c>
      <c r="N28" s="4">
        <f t="shared" si="2"/>
        <v>99.73995399</v>
      </c>
      <c r="O28" s="4">
        <f t="shared" si="3"/>
        <v>-9.296601558</v>
      </c>
      <c r="P28" s="4">
        <f t="shared" si="4"/>
        <v>86.42680052</v>
      </c>
      <c r="Q28" s="5">
        <f t="shared" si="5"/>
        <v>323.9310366</v>
      </c>
      <c r="R28" s="5">
        <f t="shared" si="6"/>
        <v>110.3286748</v>
      </c>
      <c r="S28" s="5">
        <f t="shared" si="7"/>
        <v>213.6023618</v>
      </c>
      <c r="T28" s="5">
        <f t="shared" si="8"/>
        <v>234.0440644</v>
      </c>
    </row>
    <row r="29">
      <c r="A29" s="1">
        <v>66.3538444882732</v>
      </c>
      <c r="B29" s="1">
        <v>91.3826852161126</v>
      </c>
      <c r="C29" s="1">
        <v>0.90790614567846</v>
      </c>
      <c r="D29" s="1">
        <v>24.6383831501007</v>
      </c>
      <c r="E29" s="1">
        <v>19.0</v>
      </c>
      <c r="F29" s="1">
        <v>0.89333970082542</v>
      </c>
      <c r="G29" s="1">
        <v>2.0</v>
      </c>
      <c r="H29" s="1">
        <v>0.80143171956529</v>
      </c>
      <c r="I29" s="1">
        <v>27.0</v>
      </c>
      <c r="J29" s="1">
        <v>-89.0</v>
      </c>
      <c r="K29" s="1">
        <v>-1.0</v>
      </c>
      <c r="L29" s="1">
        <v>22.0</v>
      </c>
      <c r="M29" s="4">
        <f t="shared" si="1"/>
        <v>93.00537619</v>
      </c>
      <c r="N29" s="4">
        <f t="shared" si="2"/>
        <v>101.638765</v>
      </c>
      <c r="O29" s="4">
        <f t="shared" si="3"/>
        <v>-8.633388792</v>
      </c>
      <c r="P29" s="4">
        <f t="shared" si="4"/>
        <v>74.53540204</v>
      </c>
      <c r="Q29" s="5">
        <f t="shared" si="5"/>
        <v>326.2471131</v>
      </c>
      <c r="R29" s="5">
        <f t="shared" si="6"/>
        <v>108.0316561</v>
      </c>
      <c r="S29" s="5">
        <f t="shared" si="7"/>
        <v>218.2154569</v>
      </c>
      <c r="T29" s="5">
        <f t="shared" si="8"/>
        <v>231.7470458</v>
      </c>
    </row>
    <row r="30">
      <c r="A30" s="1">
        <v>64.2967623296934</v>
      </c>
      <c r="B30" s="1">
        <v>95.9490864918375</v>
      </c>
      <c r="C30" s="1">
        <v>0.913963176091912</v>
      </c>
      <c r="D30" s="1">
        <v>26.6383829116821</v>
      </c>
      <c r="E30" s="1">
        <v>20.0</v>
      </c>
      <c r="F30" s="1">
        <v>1.0</v>
      </c>
      <c r="G30" s="1">
        <v>1.0</v>
      </c>
      <c r="H30" s="1">
        <v>0.824420828032257</v>
      </c>
      <c r="I30" s="1">
        <v>31.0</v>
      </c>
      <c r="J30" s="1">
        <v>-90.0</v>
      </c>
      <c r="K30" s="1">
        <v>-1.0</v>
      </c>
      <c r="L30" s="1">
        <v>25.0</v>
      </c>
      <c r="M30" s="4">
        <f t="shared" si="1"/>
        <v>95.18928511</v>
      </c>
      <c r="N30" s="4">
        <f t="shared" si="2"/>
        <v>103.9501981</v>
      </c>
      <c r="O30" s="4">
        <f t="shared" si="3"/>
        <v>-8.760912985</v>
      </c>
      <c r="P30" s="4">
        <f t="shared" si="4"/>
        <v>76.75359633</v>
      </c>
      <c r="Q30" s="5">
        <f t="shared" si="5"/>
        <v>321.9876396</v>
      </c>
      <c r="R30" s="5">
        <f t="shared" si="6"/>
        <v>112.3460423</v>
      </c>
      <c r="S30" s="5">
        <f t="shared" si="7"/>
        <v>209.6415972</v>
      </c>
      <c r="T30" s="5">
        <f t="shared" si="8"/>
        <v>236.061432</v>
      </c>
    </row>
    <row r="31">
      <c r="A31" s="1">
        <v>66.5710877809961</v>
      </c>
      <c r="B31" s="1">
        <v>94.9571000500384</v>
      </c>
      <c r="C31" s="1">
        <v>0.895856297359479</v>
      </c>
      <c r="D31" s="1">
        <v>7.63838291168213</v>
      </c>
      <c r="E31" s="1">
        <v>20.0</v>
      </c>
      <c r="F31" s="1">
        <v>0.908600521273688</v>
      </c>
      <c r="G31" s="1">
        <v>2.0</v>
      </c>
      <c r="H31" s="1">
        <v>0.864351089085663</v>
      </c>
      <c r="I31" s="1">
        <v>29.0</v>
      </c>
      <c r="J31" s="1">
        <v>-90.0</v>
      </c>
      <c r="K31" s="1">
        <v>0.0</v>
      </c>
      <c r="L31" s="1">
        <v>5.0</v>
      </c>
      <c r="M31" s="4">
        <f t="shared" si="1"/>
        <v>94.5568612</v>
      </c>
      <c r="N31" s="4">
        <f t="shared" si="2"/>
        <v>104.3711362</v>
      </c>
      <c r="O31" s="4">
        <f t="shared" si="3"/>
        <v>-9.814274984</v>
      </c>
      <c r="P31" s="4">
        <f t="shared" si="4"/>
        <v>96.31999347</v>
      </c>
      <c r="Q31" s="5">
        <f t="shared" si="5"/>
        <v>324.2794402</v>
      </c>
      <c r="R31" s="5">
        <f t="shared" si="6"/>
        <v>109.9332948</v>
      </c>
      <c r="S31" s="5">
        <f t="shared" si="7"/>
        <v>214.3461454</v>
      </c>
      <c r="T31" s="5">
        <f t="shared" si="8"/>
        <v>233.6486844</v>
      </c>
    </row>
    <row r="32">
      <c r="Q32" s="5"/>
      <c r="S32" s="5">
        <f> MEDIAN(S2:S18)</f>
        <v>123.7153896</v>
      </c>
    </row>
    <row r="33">
      <c r="Q33" s="5"/>
    </row>
    <row r="34">
      <c r="Q34" s="5"/>
    </row>
    <row r="35">
      <c r="Q35" s="5"/>
    </row>
    <row r="36">
      <c r="Q36" s="5"/>
    </row>
    <row r="37">
      <c r="Q37" s="5"/>
    </row>
    <row r="38">
      <c r="Q38" s="5"/>
    </row>
    <row r="39">
      <c r="Q39" s="5"/>
    </row>
    <row r="40">
      <c r="Q40" s="5"/>
    </row>
    <row r="41">
      <c r="Q41" s="5"/>
    </row>
    <row r="42">
      <c r="Q42" s="5"/>
    </row>
    <row r="43">
      <c r="Q43" s="5"/>
    </row>
    <row r="44">
      <c r="Q44" s="5"/>
    </row>
    <row r="45">
      <c r="Q45" s="5"/>
    </row>
    <row r="46">
      <c r="Q46" s="5"/>
    </row>
    <row r="47">
      <c r="Q47" s="5"/>
    </row>
    <row r="48">
      <c r="Q48" s="5"/>
    </row>
    <row r="49">
      <c r="Q49" s="5"/>
    </row>
    <row r="50">
      <c r="Q50" s="5"/>
    </row>
    <row r="51">
      <c r="Q51" s="5"/>
    </row>
    <row r="52">
      <c r="Q52" s="5"/>
    </row>
    <row r="53">
      <c r="Q53" s="5"/>
    </row>
    <row r="54">
      <c r="Q54" s="5"/>
    </row>
    <row r="55">
      <c r="Q55" s="5"/>
    </row>
    <row r="56">
      <c r="Q56" s="5"/>
    </row>
    <row r="57">
      <c r="Q57" s="5"/>
    </row>
    <row r="58">
      <c r="Q58" s="5"/>
    </row>
    <row r="59">
      <c r="Q59" s="5"/>
    </row>
    <row r="60">
      <c r="Q60" s="5"/>
    </row>
    <row r="61">
      <c r="Q61" s="5"/>
    </row>
    <row r="62">
      <c r="Q62" s="5"/>
    </row>
    <row r="63">
      <c r="Q63" s="5"/>
    </row>
    <row r="64">
      <c r="Q64" s="5"/>
    </row>
    <row r="65">
      <c r="Q65" s="5"/>
    </row>
    <row r="66">
      <c r="Q66" s="5"/>
    </row>
    <row r="67">
      <c r="Q67" s="5"/>
    </row>
    <row r="68">
      <c r="Q68" s="5"/>
    </row>
    <row r="69">
      <c r="Q69" s="5"/>
    </row>
    <row r="70">
      <c r="Q70" s="5"/>
    </row>
    <row r="71">
      <c r="Q71" s="5"/>
    </row>
    <row r="72">
      <c r="Q72" s="5"/>
    </row>
    <row r="73">
      <c r="Q73" s="5"/>
    </row>
    <row r="74">
      <c r="Q74" s="5"/>
    </row>
    <row r="75">
      <c r="Q75" s="5"/>
    </row>
    <row r="76">
      <c r="Q76" s="5"/>
    </row>
    <row r="77">
      <c r="Q77" s="5"/>
    </row>
    <row r="78">
      <c r="Q78" s="5"/>
    </row>
    <row r="79">
      <c r="Q79" s="5"/>
    </row>
    <row r="80">
      <c r="Q80" s="5"/>
    </row>
    <row r="81">
      <c r="Q81" s="5"/>
    </row>
    <row r="82">
      <c r="Q82" s="5"/>
    </row>
    <row r="83">
      <c r="Q83" s="5"/>
    </row>
    <row r="84">
      <c r="Q84" s="5"/>
    </row>
    <row r="85">
      <c r="Q85" s="5"/>
    </row>
    <row r="86">
      <c r="Q86" s="5"/>
    </row>
    <row r="87">
      <c r="Q87" s="5"/>
    </row>
    <row r="88">
      <c r="Q88" s="5"/>
    </row>
    <row r="89">
      <c r="Q89" s="5"/>
    </row>
    <row r="90">
      <c r="Q90" s="5"/>
    </row>
    <row r="91">
      <c r="Q91" s="5"/>
    </row>
    <row r="92">
      <c r="Q92" s="5"/>
    </row>
    <row r="93">
      <c r="Q93" s="5"/>
    </row>
    <row r="94">
      <c r="Q94" s="5"/>
    </row>
    <row r="95">
      <c r="Q95" s="5"/>
    </row>
    <row r="96">
      <c r="Q96" s="5"/>
    </row>
    <row r="97">
      <c r="Q97" s="5"/>
    </row>
    <row r="98">
      <c r="Q98" s="5"/>
    </row>
    <row r="99">
      <c r="Q99" s="5"/>
    </row>
    <row r="100">
      <c r="Q100" s="5"/>
    </row>
    <row r="101">
      <c r="Q101" s="5"/>
    </row>
    <row r="102">
      <c r="Q102" s="5"/>
    </row>
    <row r="103">
      <c r="Q103" s="5"/>
    </row>
    <row r="104">
      <c r="Q104" s="5"/>
    </row>
    <row r="105">
      <c r="Q105" s="5"/>
    </row>
    <row r="106">
      <c r="Q106" s="5"/>
    </row>
    <row r="107">
      <c r="Q107" s="5"/>
    </row>
    <row r="108">
      <c r="Q108" s="5"/>
    </row>
    <row r="109">
      <c r="Q109" s="5"/>
    </row>
    <row r="110">
      <c r="Q110" s="5"/>
    </row>
    <row r="111">
      <c r="Q111" s="5"/>
    </row>
    <row r="112">
      <c r="Q112" s="5"/>
    </row>
    <row r="113">
      <c r="Q113" s="5"/>
    </row>
    <row r="114">
      <c r="Q114" s="5"/>
    </row>
    <row r="115">
      <c r="Q115" s="5"/>
    </row>
    <row r="116">
      <c r="Q116" s="5"/>
    </row>
    <row r="117">
      <c r="Q117" s="5"/>
    </row>
    <row r="118">
      <c r="Q118" s="5"/>
    </row>
    <row r="119">
      <c r="Q119" s="5"/>
    </row>
    <row r="120">
      <c r="Q120" s="5"/>
    </row>
    <row r="121">
      <c r="Q121" s="5"/>
    </row>
    <row r="122">
      <c r="Q122" s="5"/>
    </row>
    <row r="123">
      <c r="Q123" s="5"/>
    </row>
    <row r="124">
      <c r="Q124" s="5"/>
    </row>
    <row r="125">
      <c r="Q125" s="5"/>
    </row>
    <row r="126">
      <c r="Q126" s="5"/>
    </row>
    <row r="127">
      <c r="Q127" s="5"/>
    </row>
    <row r="128">
      <c r="Q128" s="5"/>
    </row>
    <row r="129">
      <c r="Q129" s="5"/>
    </row>
    <row r="130">
      <c r="Q130" s="5"/>
    </row>
    <row r="131">
      <c r="Q131" s="5"/>
    </row>
    <row r="132">
      <c r="Q132" s="5"/>
    </row>
    <row r="133">
      <c r="Q133" s="5"/>
    </row>
    <row r="134">
      <c r="Q134" s="5"/>
    </row>
    <row r="135">
      <c r="Q135" s="5"/>
    </row>
    <row r="136">
      <c r="Q136" s="5"/>
    </row>
    <row r="137">
      <c r="Q137" s="5"/>
    </row>
    <row r="138">
      <c r="Q138" s="5"/>
    </row>
    <row r="139">
      <c r="Q139" s="5"/>
    </row>
    <row r="140">
      <c r="Q140" s="5"/>
    </row>
    <row r="141">
      <c r="Q141" s="5"/>
    </row>
    <row r="142">
      <c r="Q142" s="5"/>
    </row>
    <row r="143">
      <c r="Q143" s="5"/>
    </row>
    <row r="144">
      <c r="Q144" s="5"/>
    </row>
    <row r="145">
      <c r="Q145" s="5"/>
    </row>
    <row r="146">
      <c r="Q146" s="5"/>
    </row>
    <row r="147">
      <c r="Q147" s="5"/>
    </row>
    <row r="148">
      <c r="Q148" s="5"/>
    </row>
    <row r="149">
      <c r="Q149" s="5"/>
    </row>
    <row r="150">
      <c r="Q150" s="5"/>
    </row>
    <row r="151">
      <c r="Q151" s="5"/>
    </row>
    <row r="152">
      <c r="Q152" s="5"/>
    </row>
    <row r="153">
      <c r="Q153" s="5"/>
    </row>
    <row r="154">
      <c r="Q154" s="5"/>
    </row>
    <row r="155">
      <c r="Q155" s="5"/>
    </row>
    <row r="156">
      <c r="Q156" s="5"/>
    </row>
    <row r="157">
      <c r="Q157" s="5"/>
    </row>
    <row r="158">
      <c r="Q158" s="5"/>
    </row>
    <row r="159">
      <c r="Q159" s="5"/>
    </row>
    <row r="160">
      <c r="Q160" s="5"/>
    </row>
    <row r="161">
      <c r="Q161" s="5"/>
    </row>
    <row r="162">
      <c r="Q162" s="5"/>
    </row>
    <row r="163">
      <c r="Q163" s="5"/>
    </row>
    <row r="164">
      <c r="Q164" s="5"/>
    </row>
    <row r="165">
      <c r="Q165" s="5"/>
    </row>
    <row r="166">
      <c r="Q166" s="5"/>
    </row>
    <row r="167">
      <c r="Q167" s="5"/>
    </row>
    <row r="168">
      <c r="Q168" s="5"/>
    </row>
    <row r="169">
      <c r="Q169" s="5"/>
    </row>
    <row r="170">
      <c r="Q170" s="5"/>
    </row>
    <row r="171">
      <c r="Q171" s="5"/>
    </row>
    <row r="172">
      <c r="Q172" s="5"/>
    </row>
    <row r="173">
      <c r="Q173" s="5"/>
    </row>
    <row r="174">
      <c r="Q174" s="5"/>
    </row>
    <row r="175">
      <c r="Q175" s="5"/>
    </row>
    <row r="176">
      <c r="Q176" s="5"/>
    </row>
    <row r="177">
      <c r="Q177" s="5"/>
    </row>
    <row r="178">
      <c r="Q178" s="5"/>
    </row>
    <row r="179">
      <c r="Q179" s="5"/>
    </row>
    <row r="180">
      <c r="Q180" s="5"/>
    </row>
    <row r="181">
      <c r="Q181" s="5"/>
    </row>
    <row r="182">
      <c r="Q182" s="5"/>
    </row>
    <row r="183">
      <c r="Q183" s="5"/>
    </row>
    <row r="184">
      <c r="Q184" s="5"/>
    </row>
    <row r="185">
      <c r="Q185" s="5"/>
    </row>
    <row r="186">
      <c r="Q186" s="5"/>
    </row>
    <row r="187">
      <c r="Q187" s="5"/>
    </row>
    <row r="188">
      <c r="Q188" s="5"/>
    </row>
    <row r="189">
      <c r="Q189" s="5"/>
    </row>
    <row r="190">
      <c r="Q190" s="5"/>
    </row>
    <row r="191">
      <c r="Q191" s="5"/>
    </row>
    <row r="192">
      <c r="Q192" s="5"/>
    </row>
    <row r="193">
      <c r="Q193" s="5"/>
    </row>
    <row r="194">
      <c r="Q194" s="5"/>
    </row>
    <row r="195">
      <c r="Q195" s="5"/>
    </row>
    <row r="196">
      <c r="Q196" s="5"/>
    </row>
    <row r="197">
      <c r="Q197" s="5"/>
    </row>
    <row r="198">
      <c r="Q198" s="5"/>
    </row>
    <row r="199">
      <c r="Q199" s="5"/>
    </row>
    <row r="200">
      <c r="Q200" s="5"/>
    </row>
    <row r="201">
      <c r="Q201" s="5"/>
    </row>
    <row r="202">
      <c r="Q202" s="5"/>
    </row>
    <row r="203">
      <c r="Q203" s="5"/>
    </row>
    <row r="204">
      <c r="Q204" s="5"/>
    </row>
    <row r="205">
      <c r="Q205" s="5"/>
    </row>
    <row r="206">
      <c r="Q206" s="5"/>
    </row>
    <row r="207">
      <c r="Q207" s="5"/>
    </row>
    <row r="208">
      <c r="Q208" s="5"/>
    </row>
    <row r="209">
      <c r="Q209" s="5"/>
    </row>
    <row r="210">
      <c r="Q210" s="5"/>
    </row>
    <row r="211">
      <c r="Q211" s="5"/>
    </row>
    <row r="212">
      <c r="Q212" s="5"/>
    </row>
    <row r="213">
      <c r="Q213" s="5"/>
    </row>
    <row r="214">
      <c r="Q214" s="5"/>
    </row>
    <row r="215">
      <c r="Q215" s="5"/>
    </row>
    <row r="216">
      <c r="Q216" s="5"/>
    </row>
    <row r="217">
      <c r="Q217" s="5"/>
    </row>
    <row r="218">
      <c r="Q218" s="5"/>
    </row>
    <row r="219">
      <c r="Q219" s="5"/>
    </row>
    <row r="220">
      <c r="Q220" s="5"/>
    </row>
    <row r="221">
      <c r="Q221" s="5"/>
    </row>
    <row r="222">
      <c r="Q222" s="5"/>
    </row>
    <row r="223">
      <c r="Q223" s="5"/>
    </row>
    <row r="224">
      <c r="Q224" s="5"/>
    </row>
    <row r="225">
      <c r="Q225" s="5"/>
    </row>
    <row r="226">
      <c r="Q226" s="5"/>
    </row>
    <row r="227">
      <c r="Q227" s="5"/>
    </row>
    <row r="228">
      <c r="Q228" s="5"/>
    </row>
    <row r="229">
      <c r="Q229" s="5"/>
    </row>
    <row r="230">
      <c r="Q230" s="5"/>
    </row>
    <row r="231">
      <c r="Q231" s="5"/>
    </row>
    <row r="232">
      <c r="Q232" s="5"/>
    </row>
    <row r="233">
      <c r="Q233" s="5"/>
    </row>
    <row r="234">
      <c r="Q234" s="5"/>
    </row>
    <row r="235">
      <c r="Q235" s="5"/>
    </row>
    <row r="236">
      <c r="Q236" s="5"/>
    </row>
    <row r="237">
      <c r="Q237" s="5"/>
    </row>
    <row r="238">
      <c r="Q238" s="5"/>
    </row>
    <row r="239">
      <c r="Q239" s="5"/>
    </row>
    <row r="240">
      <c r="Q240" s="5"/>
    </row>
    <row r="241">
      <c r="Q241" s="5"/>
    </row>
    <row r="242">
      <c r="Q242" s="5"/>
    </row>
    <row r="243">
      <c r="Q243" s="5"/>
    </row>
    <row r="244">
      <c r="Q244" s="5"/>
    </row>
    <row r="245">
      <c r="Q245" s="5"/>
    </row>
    <row r="246">
      <c r="Q246" s="5"/>
    </row>
    <row r="247">
      <c r="Q247" s="5"/>
    </row>
    <row r="248">
      <c r="Q248" s="5"/>
    </row>
    <row r="249">
      <c r="Q249" s="5"/>
    </row>
    <row r="250">
      <c r="Q250" s="5"/>
    </row>
    <row r="251">
      <c r="Q251" s="5"/>
    </row>
    <row r="252">
      <c r="Q252" s="5"/>
    </row>
    <row r="253">
      <c r="Q253" s="5"/>
    </row>
    <row r="254">
      <c r="Q254" s="5"/>
    </row>
    <row r="255">
      <c r="Q255" s="5"/>
    </row>
    <row r="256">
      <c r="Q256" s="5"/>
    </row>
    <row r="257">
      <c r="Q257" s="5"/>
    </row>
    <row r="258">
      <c r="Q258" s="5"/>
    </row>
    <row r="259">
      <c r="Q259" s="5"/>
    </row>
    <row r="260">
      <c r="Q260" s="5"/>
    </row>
    <row r="261">
      <c r="Q261" s="5"/>
    </row>
    <row r="262">
      <c r="Q262" s="5"/>
    </row>
    <row r="263">
      <c r="Q263" s="5"/>
    </row>
    <row r="264">
      <c r="Q264" s="5"/>
    </row>
    <row r="265">
      <c r="Q265" s="5"/>
    </row>
    <row r="266">
      <c r="Q266" s="5"/>
    </row>
    <row r="267">
      <c r="Q267" s="5"/>
    </row>
    <row r="268">
      <c r="Q268" s="5"/>
    </row>
    <row r="269">
      <c r="Q269" s="5"/>
    </row>
    <row r="270">
      <c r="Q270" s="5"/>
    </row>
    <row r="271">
      <c r="Q271" s="5"/>
    </row>
    <row r="272">
      <c r="Q272" s="5"/>
    </row>
    <row r="273">
      <c r="Q273" s="5"/>
    </row>
    <row r="274">
      <c r="Q274" s="5"/>
    </row>
    <row r="275">
      <c r="Q275" s="5"/>
    </row>
    <row r="276">
      <c r="Q276" s="5"/>
    </row>
    <row r="277">
      <c r="Q277" s="5"/>
    </row>
    <row r="278">
      <c r="Q278" s="5"/>
    </row>
    <row r="279">
      <c r="Q279" s="5"/>
    </row>
    <row r="280">
      <c r="Q280" s="5"/>
    </row>
    <row r="281">
      <c r="Q281" s="5"/>
    </row>
    <row r="282">
      <c r="Q282" s="5"/>
    </row>
    <row r="283">
      <c r="Q283" s="5"/>
    </row>
    <row r="284">
      <c r="Q284" s="5"/>
    </row>
    <row r="285">
      <c r="Q285" s="5"/>
    </row>
    <row r="286">
      <c r="Q286" s="5"/>
    </row>
    <row r="287">
      <c r="Q287" s="5"/>
    </row>
    <row r="288">
      <c r="Q288" s="5"/>
    </row>
    <row r="289">
      <c r="Q289" s="5"/>
    </row>
    <row r="290">
      <c r="Q290" s="5"/>
    </row>
    <row r="291">
      <c r="Q291" s="5"/>
    </row>
    <row r="292">
      <c r="Q292" s="5"/>
    </row>
    <row r="293">
      <c r="Q293" s="5"/>
    </row>
    <row r="294">
      <c r="Q294" s="5"/>
    </row>
    <row r="295">
      <c r="Q295" s="5"/>
    </row>
    <row r="296">
      <c r="Q296" s="5"/>
    </row>
    <row r="297">
      <c r="Q297" s="5"/>
    </row>
    <row r="298">
      <c r="Q298" s="5"/>
    </row>
    <row r="299">
      <c r="Q299" s="5"/>
    </row>
    <row r="300">
      <c r="Q300" s="5"/>
    </row>
    <row r="301">
      <c r="Q301" s="5"/>
    </row>
    <row r="302">
      <c r="Q302" s="5"/>
    </row>
    <row r="303">
      <c r="Q303" s="5"/>
    </row>
    <row r="304">
      <c r="Q304" s="5"/>
    </row>
    <row r="305">
      <c r="Q305" s="5"/>
    </row>
    <row r="306">
      <c r="Q306" s="5"/>
    </row>
    <row r="307">
      <c r="Q307" s="5"/>
    </row>
    <row r="308">
      <c r="Q308" s="5"/>
    </row>
    <row r="309">
      <c r="Q309" s="5"/>
    </row>
    <row r="310">
      <c r="Q310" s="5"/>
    </row>
    <row r="311">
      <c r="Q311" s="5"/>
    </row>
    <row r="312">
      <c r="Q312" s="5"/>
    </row>
    <row r="313">
      <c r="Q313" s="5"/>
    </row>
    <row r="314">
      <c r="Q314" s="5"/>
    </row>
    <row r="315">
      <c r="Q315" s="5"/>
    </row>
    <row r="316">
      <c r="Q316" s="5"/>
    </row>
    <row r="317">
      <c r="Q317" s="5"/>
    </row>
    <row r="318">
      <c r="Q318" s="5"/>
    </row>
    <row r="319">
      <c r="Q319" s="5"/>
    </row>
    <row r="320">
      <c r="Q320" s="5"/>
    </row>
    <row r="321">
      <c r="Q321" s="5"/>
    </row>
    <row r="322">
      <c r="Q322" s="5"/>
    </row>
    <row r="323">
      <c r="Q323" s="5"/>
    </row>
    <row r="324">
      <c r="Q324" s="5"/>
    </row>
    <row r="325">
      <c r="Q325" s="5"/>
    </row>
    <row r="326">
      <c r="Q326" s="5"/>
    </row>
    <row r="327">
      <c r="Q327" s="5"/>
    </row>
    <row r="328">
      <c r="Q328" s="5"/>
    </row>
    <row r="329">
      <c r="Q329" s="5"/>
    </row>
    <row r="330">
      <c r="Q330" s="5"/>
    </row>
    <row r="331">
      <c r="Q331" s="5"/>
    </row>
    <row r="332">
      <c r="Q332" s="5"/>
    </row>
    <row r="333">
      <c r="Q333" s="5"/>
    </row>
    <row r="334">
      <c r="Q334" s="5"/>
    </row>
    <row r="335">
      <c r="Q335" s="5"/>
    </row>
    <row r="336">
      <c r="Q336" s="5"/>
    </row>
    <row r="337">
      <c r="Q337" s="5"/>
    </row>
    <row r="338">
      <c r="Q338" s="5"/>
    </row>
    <row r="339">
      <c r="Q339" s="5"/>
    </row>
    <row r="340">
      <c r="Q340" s="5"/>
    </row>
    <row r="341">
      <c r="Q341" s="5"/>
    </row>
    <row r="342">
      <c r="Q342" s="5"/>
    </row>
    <row r="343">
      <c r="Q343" s="5"/>
    </row>
    <row r="344">
      <c r="Q344" s="5"/>
    </row>
    <row r="345">
      <c r="Q345" s="5"/>
    </row>
    <row r="346">
      <c r="Q346" s="5"/>
    </row>
    <row r="347">
      <c r="Q347" s="5"/>
    </row>
    <row r="348">
      <c r="Q348" s="5"/>
    </row>
    <row r="349">
      <c r="Q349" s="5"/>
    </row>
    <row r="350">
      <c r="Q350" s="5"/>
    </row>
    <row r="351">
      <c r="Q351" s="5"/>
    </row>
    <row r="352">
      <c r="Q352" s="5"/>
    </row>
    <row r="353">
      <c r="Q353" s="5"/>
    </row>
    <row r="354">
      <c r="Q354" s="5"/>
    </row>
    <row r="355">
      <c r="Q355" s="5"/>
    </row>
    <row r="356">
      <c r="Q356" s="5"/>
    </row>
    <row r="357">
      <c r="Q357" s="5"/>
    </row>
    <row r="358">
      <c r="Q358" s="5"/>
    </row>
    <row r="359">
      <c r="Q359" s="5"/>
    </row>
    <row r="360">
      <c r="Q360" s="5"/>
    </row>
    <row r="361">
      <c r="Q361" s="5"/>
    </row>
    <row r="362">
      <c r="Q362" s="5"/>
    </row>
    <row r="363">
      <c r="Q363" s="5"/>
    </row>
    <row r="364">
      <c r="Q364" s="5"/>
    </row>
    <row r="365">
      <c r="Q365" s="5"/>
    </row>
    <row r="366">
      <c r="Q366" s="5"/>
    </row>
    <row r="367">
      <c r="Q367" s="5"/>
    </row>
    <row r="368">
      <c r="Q368" s="5"/>
    </row>
    <row r="369">
      <c r="Q369" s="5"/>
    </row>
    <row r="370">
      <c r="Q370" s="5"/>
    </row>
    <row r="371">
      <c r="Q371" s="5"/>
    </row>
    <row r="372">
      <c r="Q372" s="5"/>
    </row>
    <row r="373">
      <c r="Q373" s="5"/>
    </row>
    <row r="374">
      <c r="Q374" s="5"/>
    </row>
    <row r="375">
      <c r="Q375" s="5"/>
    </row>
    <row r="376">
      <c r="Q376" s="5"/>
    </row>
    <row r="377">
      <c r="Q377" s="5"/>
    </row>
    <row r="378">
      <c r="Q378" s="5"/>
    </row>
    <row r="379">
      <c r="Q379" s="5"/>
    </row>
    <row r="380">
      <c r="Q380" s="5"/>
    </row>
    <row r="381">
      <c r="Q381" s="5"/>
    </row>
    <row r="382">
      <c r="Q382" s="5"/>
    </row>
    <row r="383">
      <c r="Q383" s="5"/>
    </row>
    <row r="384">
      <c r="Q384" s="5"/>
    </row>
    <row r="385">
      <c r="Q385" s="5"/>
    </row>
    <row r="386">
      <c r="Q386" s="5"/>
    </row>
    <row r="387">
      <c r="Q387" s="5"/>
    </row>
    <row r="388">
      <c r="Q388" s="5"/>
    </row>
    <row r="389">
      <c r="Q389" s="5"/>
    </row>
    <row r="390">
      <c r="Q390" s="5"/>
    </row>
    <row r="391">
      <c r="Q391" s="5"/>
    </row>
    <row r="392">
      <c r="Q392" s="5"/>
    </row>
    <row r="393">
      <c r="Q393" s="5"/>
    </row>
    <row r="394">
      <c r="Q394" s="5"/>
    </row>
    <row r="395">
      <c r="Q395" s="5"/>
    </row>
    <row r="396">
      <c r="Q396" s="5"/>
    </row>
    <row r="397">
      <c r="Q397" s="5"/>
    </row>
    <row r="398">
      <c r="Q398" s="5"/>
    </row>
    <row r="399">
      <c r="Q399" s="5"/>
    </row>
    <row r="400">
      <c r="Q400" s="5"/>
    </row>
    <row r="401">
      <c r="Q401" s="5"/>
    </row>
    <row r="402">
      <c r="Q402" s="5"/>
    </row>
    <row r="403">
      <c r="Q403" s="5"/>
    </row>
    <row r="404">
      <c r="Q404" s="5"/>
    </row>
    <row r="405">
      <c r="Q405" s="5"/>
    </row>
    <row r="406">
      <c r="Q406" s="5"/>
    </row>
    <row r="407">
      <c r="Q407" s="5"/>
    </row>
    <row r="408">
      <c r="Q408" s="5"/>
    </row>
    <row r="409">
      <c r="Q409" s="5"/>
    </row>
    <row r="410">
      <c r="Q410" s="5"/>
    </row>
    <row r="411">
      <c r="Q411" s="5"/>
    </row>
    <row r="412">
      <c r="Q412" s="5"/>
    </row>
    <row r="413">
      <c r="Q413" s="5"/>
    </row>
    <row r="414">
      <c r="Q414" s="5"/>
    </row>
    <row r="415">
      <c r="Q415" s="5"/>
    </row>
    <row r="416">
      <c r="Q416" s="5"/>
    </row>
    <row r="417">
      <c r="Q417" s="5"/>
    </row>
    <row r="418">
      <c r="Q418" s="5"/>
    </row>
    <row r="419">
      <c r="Q419" s="5"/>
    </row>
    <row r="420">
      <c r="Q420" s="5"/>
    </row>
    <row r="421">
      <c r="Q421" s="5"/>
    </row>
    <row r="422">
      <c r="Q422" s="5"/>
    </row>
    <row r="423">
      <c r="Q423" s="5"/>
    </row>
    <row r="424">
      <c r="Q424" s="5"/>
    </row>
    <row r="425">
      <c r="Q425" s="5"/>
    </row>
    <row r="426">
      <c r="Q426" s="5"/>
    </row>
    <row r="427">
      <c r="Q427" s="5"/>
    </row>
    <row r="428">
      <c r="Q428" s="5"/>
    </row>
    <row r="429">
      <c r="Q429" s="5"/>
    </row>
    <row r="430">
      <c r="Q430" s="5"/>
    </row>
    <row r="431">
      <c r="Q431" s="5"/>
    </row>
    <row r="432">
      <c r="Q432" s="5"/>
    </row>
    <row r="433">
      <c r="Q433" s="5"/>
    </row>
    <row r="434">
      <c r="Q434" s="5"/>
    </row>
    <row r="435">
      <c r="Q435" s="5"/>
    </row>
    <row r="436">
      <c r="Q436" s="5"/>
    </row>
    <row r="437">
      <c r="Q437" s="5"/>
    </row>
    <row r="438">
      <c r="Q438" s="5"/>
    </row>
    <row r="439">
      <c r="Q439" s="5"/>
    </row>
    <row r="440">
      <c r="Q440" s="5"/>
    </row>
    <row r="441">
      <c r="Q441" s="5"/>
    </row>
    <row r="442">
      <c r="Q442" s="5"/>
    </row>
    <row r="443">
      <c r="Q443" s="5"/>
    </row>
    <row r="444">
      <c r="Q444" s="5"/>
    </row>
    <row r="445">
      <c r="Q445" s="5"/>
    </row>
    <row r="446">
      <c r="Q446" s="5"/>
    </row>
    <row r="447">
      <c r="Q447" s="5"/>
    </row>
    <row r="448">
      <c r="Q448" s="5"/>
    </row>
    <row r="449">
      <c r="Q449" s="5"/>
    </row>
    <row r="450">
      <c r="Q450" s="5"/>
    </row>
    <row r="451">
      <c r="Q451" s="5"/>
    </row>
    <row r="452">
      <c r="Q452" s="5"/>
    </row>
    <row r="453">
      <c r="Q453" s="5"/>
    </row>
    <row r="454">
      <c r="Q454" s="5"/>
    </row>
    <row r="455">
      <c r="Q455" s="5"/>
    </row>
    <row r="456">
      <c r="Q456" s="5"/>
    </row>
    <row r="457">
      <c r="Q457" s="5"/>
    </row>
    <row r="458">
      <c r="Q458" s="5"/>
    </row>
    <row r="459">
      <c r="Q459" s="5"/>
    </row>
    <row r="460">
      <c r="Q460" s="5"/>
    </row>
    <row r="461">
      <c r="Q461" s="5"/>
    </row>
    <row r="462">
      <c r="Q462" s="5"/>
    </row>
    <row r="463">
      <c r="Q463" s="5"/>
    </row>
    <row r="464">
      <c r="Q464" s="5"/>
    </row>
    <row r="465">
      <c r="Q465" s="5"/>
    </row>
    <row r="466">
      <c r="Q466" s="5"/>
    </row>
    <row r="467">
      <c r="Q467" s="5"/>
    </row>
    <row r="468">
      <c r="Q468" s="5"/>
    </row>
    <row r="469">
      <c r="Q469" s="5"/>
    </row>
    <row r="470">
      <c r="Q470" s="5"/>
    </row>
    <row r="471">
      <c r="Q471" s="5"/>
    </row>
    <row r="472">
      <c r="Q472" s="5"/>
    </row>
    <row r="473">
      <c r="Q473" s="5"/>
    </row>
    <row r="474">
      <c r="Q474" s="5"/>
    </row>
    <row r="475">
      <c r="Q475" s="5"/>
    </row>
    <row r="476">
      <c r="Q476" s="5"/>
    </row>
    <row r="477">
      <c r="Q477" s="5"/>
    </row>
    <row r="478">
      <c r="Q478" s="5"/>
    </row>
    <row r="479">
      <c r="Q479" s="5"/>
    </row>
    <row r="480">
      <c r="Q480" s="5"/>
    </row>
    <row r="481">
      <c r="Q481" s="5"/>
    </row>
    <row r="482">
      <c r="Q482" s="5"/>
    </row>
    <row r="483">
      <c r="Q483" s="5"/>
    </row>
    <row r="484">
      <c r="Q484" s="5"/>
    </row>
    <row r="485">
      <c r="Q485" s="5"/>
    </row>
    <row r="486">
      <c r="Q486" s="5"/>
    </row>
    <row r="487">
      <c r="Q487" s="5"/>
    </row>
    <row r="488">
      <c r="Q488" s="5"/>
    </row>
    <row r="489">
      <c r="Q489" s="5"/>
    </row>
    <row r="490">
      <c r="Q490" s="5"/>
    </row>
    <row r="491">
      <c r="Q491" s="5"/>
    </row>
    <row r="492">
      <c r="Q492" s="5"/>
    </row>
    <row r="493">
      <c r="Q493" s="5"/>
    </row>
    <row r="494">
      <c r="Q494" s="5"/>
    </row>
    <row r="495">
      <c r="Q495" s="5"/>
    </row>
    <row r="496">
      <c r="Q496" s="5"/>
    </row>
    <row r="497">
      <c r="Q497" s="5"/>
    </row>
    <row r="498">
      <c r="Q498" s="5"/>
    </row>
    <row r="499">
      <c r="Q499" s="5"/>
    </row>
    <row r="500">
      <c r="Q500" s="5"/>
    </row>
    <row r="501">
      <c r="Q501" s="5"/>
    </row>
    <row r="502">
      <c r="Q502" s="5"/>
    </row>
    <row r="503">
      <c r="Q503" s="5"/>
    </row>
    <row r="504">
      <c r="Q504" s="5"/>
    </row>
    <row r="505">
      <c r="Q505" s="5"/>
    </row>
    <row r="506">
      <c r="Q506" s="5"/>
    </row>
    <row r="507">
      <c r="Q507" s="5"/>
    </row>
    <row r="508">
      <c r="Q508" s="5"/>
    </row>
    <row r="509">
      <c r="Q509" s="5"/>
    </row>
    <row r="510">
      <c r="Q510" s="5"/>
    </row>
    <row r="511">
      <c r="Q511" s="5"/>
    </row>
    <row r="512">
      <c r="Q512" s="5"/>
    </row>
    <row r="513">
      <c r="Q513" s="5"/>
    </row>
    <row r="514">
      <c r="Q514" s="5"/>
    </row>
    <row r="515">
      <c r="Q515" s="5"/>
    </row>
    <row r="516">
      <c r="Q516" s="5"/>
    </row>
    <row r="517">
      <c r="Q517" s="5"/>
    </row>
    <row r="518">
      <c r="Q518" s="5"/>
    </row>
    <row r="519">
      <c r="Q519" s="5"/>
    </row>
    <row r="520">
      <c r="Q520" s="5"/>
    </row>
    <row r="521">
      <c r="Q521" s="5"/>
    </row>
    <row r="522">
      <c r="Q522" s="5"/>
    </row>
    <row r="523">
      <c r="Q523" s="5"/>
    </row>
    <row r="524">
      <c r="Q524" s="5"/>
    </row>
    <row r="525">
      <c r="Q525" s="5"/>
    </row>
    <row r="526">
      <c r="Q526" s="5"/>
    </row>
    <row r="527">
      <c r="Q527" s="5"/>
    </row>
    <row r="528">
      <c r="Q528" s="5"/>
    </row>
    <row r="529">
      <c r="Q529" s="5"/>
    </row>
    <row r="530">
      <c r="Q530" s="5"/>
    </row>
    <row r="531">
      <c r="Q531" s="5"/>
    </row>
    <row r="532">
      <c r="Q532" s="5"/>
    </row>
    <row r="533">
      <c r="Q533" s="5"/>
    </row>
    <row r="534">
      <c r="Q534" s="5"/>
    </row>
    <row r="535">
      <c r="Q535" s="5"/>
    </row>
    <row r="536">
      <c r="Q536" s="5"/>
    </row>
    <row r="537">
      <c r="Q537" s="5"/>
    </row>
    <row r="538">
      <c r="Q538" s="5"/>
    </row>
    <row r="539">
      <c r="Q539" s="5"/>
    </row>
    <row r="540">
      <c r="Q540" s="5"/>
    </row>
    <row r="541">
      <c r="Q541" s="5"/>
    </row>
    <row r="542">
      <c r="Q542" s="5"/>
    </row>
    <row r="543">
      <c r="Q543" s="5"/>
    </row>
    <row r="544">
      <c r="Q544" s="5"/>
    </row>
    <row r="545">
      <c r="Q545" s="5"/>
    </row>
    <row r="546">
      <c r="Q546" s="5"/>
    </row>
    <row r="547">
      <c r="Q547" s="5"/>
    </row>
    <row r="548">
      <c r="Q548" s="5"/>
    </row>
    <row r="549">
      <c r="Q549" s="5"/>
    </row>
    <row r="550">
      <c r="Q550" s="5"/>
    </row>
    <row r="551">
      <c r="Q551" s="5"/>
    </row>
    <row r="552">
      <c r="Q552" s="5"/>
    </row>
    <row r="553">
      <c r="Q553" s="5"/>
    </row>
    <row r="554">
      <c r="Q554" s="5"/>
    </row>
    <row r="555">
      <c r="Q555" s="5"/>
    </row>
    <row r="556">
      <c r="Q556" s="5"/>
    </row>
    <row r="557">
      <c r="Q557" s="5"/>
    </row>
    <row r="558">
      <c r="Q558" s="5"/>
    </row>
    <row r="559">
      <c r="Q559" s="5"/>
    </row>
    <row r="560">
      <c r="Q560" s="5"/>
    </row>
    <row r="561">
      <c r="Q561" s="5"/>
    </row>
    <row r="562">
      <c r="Q562" s="5"/>
    </row>
    <row r="563">
      <c r="Q563" s="5"/>
    </row>
    <row r="564">
      <c r="Q564" s="5"/>
    </row>
    <row r="565">
      <c r="Q565" s="5"/>
    </row>
    <row r="566">
      <c r="Q566" s="5"/>
    </row>
    <row r="567">
      <c r="Q567" s="5"/>
    </row>
    <row r="568">
      <c r="Q568" s="5"/>
    </row>
    <row r="569">
      <c r="Q569" s="5"/>
    </row>
    <row r="570">
      <c r="Q570" s="5"/>
    </row>
    <row r="571">
      <c r="Q571" s="5"/>
    </row>
    <row r="572">
      <c r="Q572" s="5"/>
    </row>
    <row r="573">
      <c r="Q573" s="5"/>
    </row>
    <row r="574">
      <c r="Q574" s="5"/>
    </row>
    <row r="575">
      <c r="Q575" s="5"/>
    </row>
    <row r="576">
      <c r="Q576" s="5"/>
    </row>
    <row r="577">
      <c r="Q577" s="5"/>
    </row>
    <row r="578">
      <c r="Q578" s="5"/>
    </row>
    <row r="579">
      <c r="Q579" s="5"/>
    </row>
    <row r="580">
      <c r="Q580" s="5"/>
    </row>
    <row r="581">
      <c r="Q581" s="5"/>
    </row>
    <row r="582">
      <c r="Q582" s="5"/>
    </row>
    <row r="583">
      <c r="Q583" s="5"/>
    </row>
    <row r="584">
      <c r="Q584" s="5"/>
    </row>
    <row r="585">
      <c r="Q585" s="5"/>
    </row>
    <row r="586">
      <c r="Q586" s="5"/>
    </row>
    <row r="587">
      <c r="Q587" s="5"/>
    </row>
    <row r="588">
      <c r="Q588" s="5"/>
    </row>
    <row r="589">
      <c r="Q589" s="5"/>
    </row>
    <row r="590">
      <c r="Q590" s="5"/>
    </row>
    <row r="591">
      <c r="Q591" s="5"/>
    </row>
    <row r="592">
      <c r="Q592" s="5"/>
    </row>
    <row r="593">
      <c r="Q593" s="5"/>
    </row>
    <row r="594">
      <c r="Q594" s="5"/>
    </row>
    <row r="595">
      <c r="Q595" s="5"/>
    </row>
    <row r="596">
      <c r="Q596" s="5"/>
    </row>
    <row r="597">
      <c r="Q597" s="5"/>
    </row>
    <row r="598">
      <c r="Q598" s="5"/>
    </row>
    <row r="599">
      <c r="Q599" s="5"/>
    </row>
    <row r="600">
      <c r="Q600" s="5"/>
    </row>
    <row r="601">
      <c r="Q601" s="5"/>
    </row>
    <row r="602">
      <c r="Q602" s="5"/>
    </row>
    <row r="603">
      <c r="Q603" s="5"/>
    </row>
    <row r="604">
      <c r="Q604" s="5"/>
    </row>
    <row r="605">
      <c r="Q605" s="5"/>
    </row>
    <row r="606">
      <c r="Q606" s="5"/>
    </row>
    <row r="607">
      <c r="Q607" s="5"/>
    </row>
    <row r="608">
      <c r="Q608" s="5"/>
    </row>
    <row r="609">
      <c r="Q609" s="5"/>
    </row>
    <row r="610">
      <c r="Q610" s="5"/>
    </row>
    <row r="611">
      <c r="Q611" s="5"/>
    </row>
    <row r="612">
      <c r="Q612" s="5"/>
    </row>
    <row r="613">
      <c r="Q613" s="5"/>
    </row>
    <row r="614">
      <c r="Q614" s="5"/>
    </row>
    <row r="615">
      <c r="Q615" s="5"/>
    </row>
    <row r="616">
      <c r="Q616" s="5"/>
    </row>
    <row r="617">
      <c r="Q617" s="5"/>
    </row>
    <row r="618">
      <c r="Q618" s="5"/>
    </row>
    <row r="619">
      <c r="Q619" s="5"/>
    </row>
    <row r="620">
      <c r="Q620" s="5"/>
    </row>
    <row r="621">
      <c r="Q621" s="5"/>
    </row>
    <row r="622">
      <c r="Q622" s="5"/>
    </row>
    <row r="623">
      <c r="Q623" s="5"/>
    </row>
    <row r="624">
      <c r="Q624" s="5"/>
    </row>
    <row r="625">
      <c r="Q625" s="5"/>
    </row>
    <row r="626">
      <c r="Q626" s="5"/>
    </row>
    <row r="627">
      <c r="Q627" s="5"/>
    </row>
    <row r="628">
      <c r="Q628" s="5"/>
    </row>
    <row r="629">
      <c r="Q629" s="5"/>
    </row>
    <row r="630">
      <c r="Q630" s="5"/>
    </row>
    <row r="631">
      <c r="Q631" s="5"/>
    </row>
    <row r="632">
      <c r="Q632" s="5"/>
    </row>
    <row r="633">
      <c r="Q633" s="5"/>
    </row>
    <row r="634">
      <c r="Q634" s="5"/>
    </row>
    <row r="635">
      <c r="Q635" s="5"/>
    </row>
    <row r="636">
      <c r="Q636" s="5"/>
    </row>
    <row r="637">
      <c r="Q637" s="5"/>
    </row>
    <row r="638">
      <c r="Q638" s="5"/>
    </row>
    <row r="639">
      <c r="Q639" s="5"/>
    </row>
    <row r="640">
      <c r="Q640" s="5"/>
    </row>
    <row r="641">
      <c r="Q641" s="5"/>
    </row>
    <row r="642">
      <c r="Q642" s="5"/>
    </row>
    <row r="643">
      <c r="Q643" s="5"/>
    </row>
    <row r="644">
      <c r="Q644" s="5"/>
    </row>
    <row r="645">
      <c r="Q645" s="5"/>
    </row>
    <row r="646">
      <c r="Q646" s="5"/>
    </row>
    <row r="647">
      <c r="Q647" s="5"/>
    </row>
    <row r="648">
      <c r="Q648" s="5"/>
    </row>
    <row r="649">
      <c r="Q649" s="5"/>
    </row>
    <row r="650">
      <c r="Q650" s="5"/>
    </row>
    <row r="651">
      <c r="Q651" s="5"/>
    </row>
    <row r="652">
      <c r="Q652" s="5"/>
    </row>
    <row r="653">
      <c r="Q653" s="5"/>
    </row>
    <row r="654">
      <c r="Q654" s="5"/>
    </row>
    <row r="655">
      <c r="Q655" s="5"/>
    </row>
    <row r="656">
      <c r="Q656" s="5"/>
    </row>
    <row r="657">
      <c r="Q657" s="5"/>
    </row>
    <row r="658">
      <c r="Q658" s="5"/>
    </row>
    <row r="659">
      <c r="Q659" s="5"/>
    </row>
    <row r="660">
      <c r="Q660" s="5"/>
    </row>
    <row r="661">
      <c r="Q661" s="5"/>
    </row>
    <row r="662">
      <c r="Q662" s="5"/>
    </row>
    <row r="663">
      <c r="Q663" s="5"/>
    </row>
    <row r="664">
      <c r="Q664" s="5"/>
    </row>
    <row r="665">
      <c r="Q665" s="5"/>
    </row>
    <row r="666">
      <c r="Q666" s="5"/>
    </row>
    <row r="667">
      <c r="Q667" s="5"/>
    </row>
    <row r="668">
      <c r="Q668" s="5"/>
    </row>
    <row r="669">
      <c r="Q669" s="5"/>
    </row>
    <row r="670">
      <c r="Q670" s="5"/>
    </row>
    <row r="671">
      <c r="Q671" s="5"/>
    </row>
    <row r="672">
      <c r="Q672" s="5"/>
    </row>
    <row r="673">
      <c r="Q673" s="5"/>
    </row>
    <row r="674">
      <c r="Q674" s="5"/>
    </row>
    <row r="675">
      <c r="Q675" s="5"/>
    </row>
    <row r="676">
      <c r="Q676" s="5"/>
    </row>
    <row r="677">
      <c r="Q677" s="5"/>
    </row>
    <row r="678">
      <c r="Q678" s="5"/>
    </row>
    <row r="679">
      <c r="Q679" s="5"/>
    </row>
    <row r="680">
      <c r="Q680" s="5"/>
    </row>
    <row r="681">
      <c r="Q681" s="5"/>
    </row>
    <row r="682">
      <c r="Q682" s="5"/>
    </row>
    <row r="683">
      <c r="Q683" s="5"/>
    </row>
    <row r="684">
      <c r="Q684" s="5"/>
    </row>
    <row r="685">
      <c r="Q685" s="5"/>
    </row>
    <row r="686">
      <c r="Q686" s="5"/>
    </row>
    <row r="687">
      <c r="Q687" s="5"/>
    </row>
    <row r="688">
      <c r="Q688" s="5"/>
    </row>
    <row r="689">
      <c r="Q689" s="5"/>
    </row>
    <row r="690">
      <c r="Q690" s="5"/>
    </row>
    <row r="691">
      <c r="Q691" s="5"/>
    </row>
    <row r="692">
      <c r="Q692" s="5"/>
    </row>
    <row r="693">
      <c r="Q693" s="5"/>
    </row>
    <row r="694">
      <c r="Q694" s="5"/>
    </row>
    <row r="695">
      <c r="Q695" s="5"/>
    </row>
    <row r="696">
      <c r="Q696" s="5"/>
    </row>
    <row r="697">
      <c r="Q697" s="5"/>
    </row>
    <row r="698">
      <c r="Q698" s="5"/>
    </row>
    <row r="699">
      <c r="Q699" s="5"/>
    </row>
    <row r="700">
      <c r="Q700" s="5"/>
    </row>
    <row r="701">
      <c r="Q701" s="5"/>
    </row>
    <row r="702">
      <c r="Q702" s="5"/>
    </row>
    <row r="703">
      <c r="Q703" s="5"/>
    </row>
    <row r="704">
      <c r="Q704" s="5"/>
    </row>
    <row r="705">
      <c r="Q705" s="5"/>
    </row>
    <row r="706">
      <c r="Q706" s="5"/>
    </row>
    <row r="707">
      <c r="Q707" s="5"/>
    </row>
    <row r="708">
      <c r="Q708" s="5"/>
    </row>
    <row r="709">
      <c r="Q709" s="5"/>
    </row>
    <row r="710">
      <c r="Q710" s="5"/>
    </row>
    <row r="711">
      <c r="Q711" s="5"/>
    </row>
    <row r="712">
      <c r="Q712" s="5"/>
    </row>
    <row r="713">
      <c r="Q713" s="5"/>
    </row>
    <row r="714">
      <c r="Q714" s="5"/>
    </row>
    <row r="715">
      <c r="Q715" s="5"/>
    </row>
    <row r="716">
      <c r="Q716" s="5"/>
    </row>
    <row r="717">
      <c r="Q717" s="5"/>
    </row>
    <row r="718">
      <c r="Q718" s="5"/>
    </row>
    <row r="719">
      <c r="Q719" s="5"/>
    </row>
    <row r="720">
      <c r="Q720" s="5"/>
    </row>
    <row r="721">
      <c r="Q721" s="5"/>
    </row>
    <row r="722">
      <c r="Q722" s="5"/>
    </row>
    <row r="723">
      <c r="Q723" s="5"/>
    </row>
    <row r="724">
      <c r="Q724" s="5"/>
    </row>
    <row r="725">
      <c r="Q725" s="5"/>
    </row>
    <row r="726">
      <c r="Q726" s="5"/>
    </row>
    <row r="727">
      <c r="Q727" s="5"/>
    </row>
    <row r="728">
      <c r="Q728" s="5"/>
    </row>
    <row r="729">
      <c r="Q729" s="5"/>
    </row>
    <row r="730">
      <c r="Q730" s="5"/>
    </row>
    <row r="731">
      <c r="Q731" s="5"/>
    </row>
    <row r="732">
      <c r="Q732" s="5"/>
    </row>
    <row r="733">
      <c r="Q733" s="5"/>
    </row>
    <row r="734">
      <c r="Q734" s="5"/>
    </row>
    <row r="735">
      <c r="Q735" s="5"/>
    </row>
    <row r="736">
      <c r="Q736" s="5"/>
    </row>
    <row r="737">
      <c r="Q737" s="5"/>
    </row>
    <row r="738">
      <c r="Q738" s="5"/>
    </row>
    <row r="739">
      <c r="Q739" s="5"/>
    </row>
    <row r="740">
      <c r="Q740" s="5"/>
    </row>
    <row r="741">
      <c r="Q741" s="5"/>
    </row>
    <row r="742">
      <c r="Q742" s="5"/>
    </row>
    <row r="743">
      <c r="Q743" s="5"/>
    </row>
    <row r="744">
      <c r="Q744" s="5"/>
    </row>
    <row r="745">
      <c r="Q745" s="5"/>
    </row>
    <row r="746">
      <c r="Q746" s="5"/>
    </row>
    <row r="747">
      <c r="Q747" s="5"/>
    </row>
    <row r="748">
      <c r="Q748" s="5"/>
    </row>
    <row r="749">
      <c r="Q749" s="5"/>
    </row>
    <row r="750">
      <c r="Q750" s="5"/>
    </row>
    <row r="751">
      <c r="Q751" s="5"/>
    </row>
    <row r="752">
      <c r="Q752" s="5"/>
    </row>
    <row r="753">
      <c r="Q753" s="5"/>
    </row>
    <row r="754">
      <c r="Q754" s="5"/>
    </row>
    <row r="755">
      <c r="Q755" s="5"/>
    </row>
    <row r="756">
      <c r="Q756" s="5"/>
    </row>
    <row r="757">
      <c r="Q757" s="5"/>
    </row>
    <row r="758">
      <c r="Q758" s="5"/>
    </row>
    <row r="759">
      <c r="Q759" s="5"/>
    </row>
    <row r="760">
      <c r="Q760" s="5"/>
    </row>
    <row r="761">
      <c r="Q761" s="5"/>
    </row>
    <row r="762">
      <c r="Q762" s="5"/>
    </row>
    <row r="763">
      <c r="Q763" s="5"/>
    </row>
    <row r="764">
      <c r="Q764" s="5"/>
    </row>
    <row r="765">
      <c r="Q765" s="5"/>
    </row>
    <row r="766">
      <c r="Q766" s="5"/>
    </row>
    <row r="767">
      <c r="Q767" s="5"/>
    </row>
    <row r="768">
      <c r="Q768" s="5"/>
    </row>
    <row r="769">
      <c r="Q769" s="5"/>
    </row>
    <row r="770">
      <c r="Q770" s="5"/>
    </row>
    <row r="771">
      <c r="Q771" s="5"/>
    </row>
    <row r="772">
      <c r="Q772" s="5"/>
    </row>
    <row r="773">
      <c r="Q773" s="5"/>
    </row>
    <row r="774">
      <c r="Q774" s="5"/>
    </row>
    <row r="775">
      <c r="Q775" s="5"/>
    </row>
    <row r="776">
      <c r="Q776" s="5"/>
    </row>
    <row r="777">
      <c r="Q777" s="5"/>
    </row>
    <row r="778">
      <c r="Q778" s="5"/>
    </row>
    <row r="779">
      <c r="Q779" s="5"/>
    </row>
    <row r="780">
      <c r="Q780" s="5"/>
    </row>
    <row r="781">
      <c r="Q781" s="5"/>
    </row>
    <row r="782">
      <c r="Q782" s="5"/>
    </row>
    <row r="783">
      <c r="Q783" s="5"/>
    </row>
    <row r="784">
      <c r="Q784" s="5"/>
    </row>
    <row r="785">
      <c r="Q785" s="5"/>
    </row>
    <row r="786">
      <c r="Q786" s="5"/>
    </row>
    <row r="787">
      <c r="Q787" s="5"/>
    </row>
    <row r="788">
      <c r="Q788" s="5"/>
    </row>
    <row r="789">
      <c r="Q789" s="5"/>
    </row>
    <row r="790">
      <c r="Q790" s="5"/>
    </row>
    <row r="791">
      <c r="Q791" s="5"/>
    </row>
    <row r="792">
      <c r="Q792" s="5"/>
    </row>
    <row r="793">
      <c r="Q793" s="5"/>
    </row>
    <row r="794">
      <c r="Q794" s="5"/>
    </row>
    <row r="795">
      <c r="Q795" s="5"/>
    </row>
    <row r="796">
      <c r="Q796" s="5"/>
    </row>
    <row r="797">
      <c r="Q797" s="5"/>
    </row>
    <row r="798">
      <c r="Q798" s="5"/>
    </row>
    <row r="799">
      <c r="Q799" s="5"/>
    </row>
    <row r="800">
      <c r="Q800" s="5"/>
    </row>
    <row r="801">
      <c r="Q801" s="5"/>
    </row>
    <row r="802">
      <c r="Q802" s="5"/>
    </row>
    <row r="803">
      <c r="Q803" s="5"/>
    </row>
    <row r="804">
      <c r="Q804" s="5"/>
    </row>
    <row r="805">
      <c r="Q805" s="5"/>
    </row>
    <row r="806">
      <c r="Q806" s="5"/>
    </row>
    <row r="807">
      <c r="Q807" s="5"/>
    </row>
    <row r="808">
      <c r="Q808" s="5"/>
    </row>
    <row r="809">
      <c r="Q809" s="5"/>
    </row>
    <row r="810">
      <c r="Q810" s="5"/>
    </row>
    <row r="811">
      <c r="Q811" s="5"/>
    </row>
    <row r="812">
      <c r="Q812" s="5"/>
    </row>
    <row r="813">
      <c r="Q813" s="5"/>
    </row>
    <row r="814">
      <c r="Q814" s="5"/>
    </row>
    <row r="815">
      <c r="Q815" s="5"/>
    </row>
    <row r="816">
      <c r="Q816" s="5"/>
    </row>
    <row r="817">
      <c r="Q817" s="5"/>
    </row>
    <row r="818">
      <c r="Q818" s="5"/>
    </row>
    <row r="819">
      <c r="Q819" s="5"/>
    </row>
    <row r="820">
      <c r="Q820" s="5"/>
    </row>
    <row r="821">
      <c r="Q821" s="5"/>
    </row>
    <row r="822">
      <c r="Q822" s="5"/>
    </row>
    <row r="823">
      <c r="Q823" s="5"/>
    </row>
    <row r="824">
      <c r="Q824" s="5"/>
    </row>
    <row r="825">
      <c r="Q825" s="5"/>
    </row>
    <row r="826">
      <c r="Q826" s="5"/>
    </row>
    <row r="827">
      <c r="Q827" s="5"/>
    </row>
    <row r="828">
      <c r="Q828" s="5"/>
    </row>
    <row r="829">
      <c r="Q829" s="5"/>
    </row>
    <row r="830">
      <c r="Q830" s="5"/>
    </row>
    <row r="831">
      <c r="Q831" s="5"/>
    </row>
    <row r="832">
      <c r="Q832" s="5"/>
    </row>
    <row r="833">
      <c r="Q833" s="5"/>
    </row>
    <row r="834">
      <c r="Q834" s="5"/>
    </row>
    <row r="835">
      <c r="Q835" s="5"/>
    </row>
    <row r="836">
      <c r="Q836" s="5"/>
    </row>
    <row r="837">
      <c r="Q837" s="5"/>
    </row>
    <row r="838">
      <c r="Q838" s="5"/>
    </row>
    <row r="839">
      <c r="Q839" s="5"/>
    </row>
    <row r="840">
      <c r="Q840" s="5"/>
    </row>
    <row r="841">
      <c r="Q841" s="5"/>
    </row>
    <row r="842">
      <c r="Q842" s="5"/>
    </row>
    <row r="843">
      <c r="Q843" s="5"/>
    </row>
    <row r="844">
      <c r="Q844" s="5"/>
    </row>
    <row r="845">
      <c r="Q845" s="5"/>
    </row>
    <row r="846">
      <c r="Q846" s="5"/>
    </row>
    <row r="847">
      <c r="Q847" s="5"/>
    </row>
    <row r="848">
      <c r="Q848" s="5"/>
    </row>
    <row r="849">
      <c r="Q849" s="5"/>
    </row>
    <row r="850">
      <c r="Q850" s="5"/>
    </row>
    <row r="851">
      <c r="Q851" s="5"/>
    </row>
    <row r="852">
      <c r="Q852" s="5"/>
    </row>
    <row r="853">
      <c r="Q853" s="5"/>
    </row>
    <row r="854">
      <c r="Q854" s="5"/>
    </row>
    <row r="855">
      <c r="Q855" s="5"/>
    </row>
    <row r="856">
      <c r="Q856" s="5"/>
    </row>
    <row r="857">
      <c r="Q857" s="5"/>
    </row>
    <row r="858">
      <c r="Q858" s="5"/>
    </row>
    <row r="859">
      <c r="Q859" s="5"/>
    </row>
    <row r="860">
      <c r="Q860" s="5"/>
    </row>
    <row r="861">
      <c r="Q861" s="5"/>
    </row>
    <row r="862">
      <c r="Q862" s="5"/>
    </row>
    <row r="863">
      <c r="Q863" s="5"/>
    </row>
    <row r="864">
      <c r="Q864" s="5"/>
    </row>
    <row r="865">
      <c r="Q865" s="5"/>
    </row>
    <row r="866">
      <c r="Q866" s="5"/>
    </row>
    <row r="867">
      <c r="Q867" s="5"/>
    </row>
    <row r="868">
      <c r="Q868" s="5"/>
    </row>
    <row r="869">
      <c r="Q869" s="5"/>
    </row>
    <row r="870">
      <c r="Q870" s="5"/>
    </row>
    <row r="871">
      <c r="Q871" s="5"/>
    </row>
    <row r="872">
      <c r="Q872" s="5"/>
    </row>
    <row r="873">
      <c r="Q873" s="5"/>
    </row>
    <row r="874">
      <c r="Q874" s="5"/>
    </row>
    <row r="875">
      <c r="Q875" s="5"/>
    </row>
    <row r="876">
      <c r="Q876" s="5"/>
    </row>
    <row r="877">
      <c r="Q877" s="5"/>
    </row>
    <row r="878">
      <c r="Q878" s="5"/>
    </row>
    <row r="879">
      <c r="Q879" s="5"/>
    </row>
    <row r="880">
      <c r="Q880" s="5"/>
    </row>
    <row r="881">
      <c r="Q881" s="5"/>
    </row>
    <row r="882">
      <c r="Q882" s="5"/>
    </row>
    <row r="883">
      <c r="Q883" s="5"/>
    </row>
    <row r="884">
      <c r="Q884" s="5"/>
    </row>
    <row r="885">
      <c r="Q885" s="5"/>
    </row>
    <row r="886">
      <c r="Q886" s="5"/>
    </row>
    <row r="887">
      <c r="Q887" s="5"/>
    </row>
    <row r="888">
      <c r="Q888" s="5"/>
    </row>
    <row r="889">
      <c r="Q889" s="5"/>
    </row>
    <row r="890">
      <c r="Q890" s="5"/>
    </row>
    <row r="891">
      <c r="Q891" s="5"/>
    </row>
    <row r="892">
      <c r="Q892" s="5"/>
    </row>
    <row r="893">
      <c r="Q893" s="5"/>
    </row>
    <row r="894">
      <c r="Q894" s="5"/>
    </row>
    <row r="895">
      <c r="Q895" s="5"/>
    </row>
    <row r="896">
      <c r="Q896" s="5"/>
    </row>
    <row r="897">
      <c r="Q897" s="5"/>
    </row>
    <row r="898">
      <c r="Q898" s="5"/>
    </row>
    <row r="899">
      <c r="Q899" s="5"/>
    </row>
    <row r="900">
      <c r="Q900" s="5"/>
    </row>
    <row r="901">
      <c r="Q901" s="5"/>
    </row>
    <row r="902">
      <c r="Q902" s="5"/>
    </row>
    <row r="903">
      <c r="Q903" s="5"/>
    </row>
    <row r="904">
      <c r="Q904" s="5"/>
    </row>
    <row r="905">
      <c r="Q905" s="5"/>
    </row>
    <row r="906">
      <c r="Q906" s="5"/>
    </row>
    <row r="907">
      <c r="Q907" s="5"/>
    </row>
    <row r="908">
      <c r="Q908" s="5"/>
    </row>
    <row r="909">
      <c r="Q909" s="5"/>
    </row>
    <row r="910">
      <c r="Q910" s="5"/>
    </row>
    <row r="911">
      <c r="Q911" s="5"/>
    </row>
    <row r="912">
      <c r="Q912" s="5"/>
    </row>
    <row r="913">
      <c r="Q913" s="5"/>
    </row>
    <row r="914">
      <c r="Q914" s="5"/>
    </row>
    <row r="915">
      <c r="Q915" s="5"/>
    </row>
    <row r="916">
      <c r="Q916" s="5"/>
    </row>
    <row r="917">
      <c r="Q917" s="5"/>
    </row>
    <row r="918">
      <c r="Q918" s="5"/>
    </row>
    <row r="919">
      <c r="Q919" s="5"/>
    </row>
    <row r="920">
      <c r="Q920" s="5"/>
    </row>
    <row r="921">
      <c r="Q921" s="5"/>
    </row>
    <row r="922">
      <c r="Q922" s="5"/>
    </row>
    <row r="923">
      <c r="Q923" s="5"/>
    </row>
    <row r="924">
      <c r="Q924" s="5"/>
    </row>
    <row r="925">
      <c r="Q925" s="5"/>
    </row>
    <row r="926">
      <c r="Q926" s="5"/>
    </row>
    <row r="927">
      <c r="Q927" s="5"/>
    </row>
    <row r="928">
      <c r="Q928" s="5"/>
    </row>
    <row r="929">
      <c r="Q929" s="5"/>
    </row>
    <row r="930">
      <c r="Q930" s="5"/>
    </row>
    <row r="931">
      <c r="Q931" s="5"/>
    </row>
    <row r="932">
      <c r="Q932" s="5"/>
    </row>
    <row r="933">
      <c r="Q933" s="5"/>
    </row>
    <row r="934">
      <c r="Q934" s="5"/>
    </row>
    <row r="935">
      <c r="Q935" s="5"/>
    </row>
    <row r="936">
      <c r="Q936" s="5"/>
    </row>
    <row r="937">
      <c r="Q937" s="5"/>
    </row>
    <row r="938">
      <c r="Q938" s="5"/>
    </row>
    <row r="939">
      <c r="Q939" s="5"/>
    </row>
    <row r="940">
      <c r="Q940" s="5"/>
    </row>
    <row r="941">
      <c r="Q941" s="5"/>
    </row>
    <row r="942">
      <c r="Q942" s="5"/>
    </row>
    <row r="943">
      <c r="Q943" s="5"/>
    </row>
    <row r="944">
      <c r="Q944" s="5"/>
    </row>
    <row r="945">
      <c r="Q945" s="5"/>
    </row>
    <row r="946">
      <c r="Q946" s="5"/>
    </row>
    <row r="947">
      <c r="Q947" s="5"/>
    </row>
    <row r="948">
      <c r="Q948" s="5"/>
    </row>
    <row r="949">
      <c r="Q949" s="5"/>
    </row>
    <row r="950">
      <c r="Q950" s="5"/>
    </row>
    <row r="951">
      <c r="Q951" s="5"/>
    </row>
    <row r="952">
      <c r="Q952" s="5"/>
    </row>
    <row r="953">
      <c r="Q953" s="5"/>
    </row>
    <row r="954">
      <c r="Q954" s="5"/>
    </row>
    <row r="955">
      <c r="Q955" s="5"/>
    </row>
    <row r="956">
      <c r="Q956" s="5"/>
    </row>
    <row r="957">
      <c r="Q957" s="5"/>
    </row>
    <row r="958">
      <c r="Q958" s="5"/>
    </row>
    <row r="959">
      <c r="Q959" s="5"/>
    </row>
    <row r="960">
      <c r="Q960" s="5"/>
    </row>
    <row r="961">
      <c r="Q961" s="5"/>
    </row>
    <row r="962">
      <c r="Q962" s="5"/>
    </row>
    <row r="963">
      <c r="Q963" s="5"/>
    </row>
    <row r="964">
      <c r="Q964" s="5"/>
    </row>
    <row r="965">
      <c r="Q965" s="5"/>
    </row>
    <row r="966">
      <c r="Q966" s="5"/>
    </row>
    <row r="967">
      <c r="Q967" s="5"/>
    </row>
    <row r="968">
      <c r="Q968" s="5"/>
    </row>
    <row r="969">
      <c r="Q969" s="5"/>
    </row>
    <row r="970">
      <c r="Q970" s="5"/>
    </row>
    <row r="971">
      <c r="Q971" s="5"/>
    </row>
    <row r="972">
      <c r="Q972" s="5"/>
    </row>
    <row r="973">
      <c r="Q973" s="5"/>
    </row>
    <row r="974">
      <c r="Q974" s="5"/>
    </row>
    <row r="975">
      <c r="Q975" s="5"/>
    </row>
    <row r="976">
      <c r="Q976" s="5"/>
    </row>
    <row r="977">
      <c r="Q977" s="5"/>
    </row>
    <row r="978">
      <c r="Q978" s="5"/>
    </row>
    <row r="979">
      <c r="Q979" s="5"/>
    </row>
    <row r="980">
      <c r="Q980" s="5"/>
    </row>
    <row r="981">
      <c r="Q981" s="5"/>
    </row>
    <row r="982">
      <c r="Q982" s="5"/>
    </row>
    <row r="983">
      <c r="Q983" s="5"/>
    </row>
    <row r="984">
      <c r="Q984" s="5"/>
    </row>
    <row r="985">
      <c r="Q985" s="5"/>
    </row>
    <row r="986">
      <c r="Q986" s="5"/>
    </row>
    <row r="987">
      <c r="Q987" s="5"/>
    </row>
    <row r="988">
      <c r="Q988" s="5"/>
    </row>
    <row r="989">
      <c r="Q989" s="5"/>
    </row>
    <row r="990">
      <c r="Q990" s="5"/>
    </row>
    <row r="991">
      <c r="Q991" s="5"/>
    </row>
    <row r="992">
      <c r="Q992" s="5"/>
    </row>
    <row r="993">
      <c r="Q993" s="5"/>
    </row>
    <row r="994">
      <c r="Q994" s="5"/>
    </row>
    <row r="995">
      <c r="Q995" s="5"/>
    </row>
    <row r="996">
      <c r="Q996" s="5"/>
    </row>
    <row r="997">
      <c r="Q997" s="5"/>
    </row>
    <row r="998">
      <c r="Q998" s="5"/>
    </row>
    <row r="999">
      <c r="Q999" s="5"/>
    </row>
    <row r="1000">
      <c r="Q1000" s="5"/>
    </row>
  </sheetData>
  <drawing r:id="rId1"/>
</worksheet>
</file>