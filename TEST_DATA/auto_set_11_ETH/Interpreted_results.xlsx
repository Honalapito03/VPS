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<sst xmlns="http://schemas.openxmlformats.org/spreadsheetml/2006/main" count="20" uniqueCount="20">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</sst>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25830599"/>
        <c:axId val="1325512574"/>
      </c:lineChart>
      <c:catAx>
        <c:axId val="25830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512574"/>
      </c:catAx>
      <c:valAx>
        <c:axId val="1325512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30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17302412"/>
        <c:axId val="77633361"/>
      </c:lineChart>
      <c:catAx>
        <c:axId val="17302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33361"/>
      </c:catAx>
      <c:valAx>
        <c:axId val="77633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2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29644"/>
        <c:axId val="365740837"/>
      </c:scatterChart>
      <c:valAx>
        <c:axId val="2211296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740837"/>
      </c:valAx>
      <c:valAx>
        <c:axId val="365740837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129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082397"/>
        <c:axId val="1632365801"/>
      </c:scatterChart>
      <c:valAx>
        <c:axId val="10560823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2365801"/>
      </c:valAx>
      <c:valAx>
        <c:axId val="1632365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082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2.06250004470348</v>
      </c>
      <c r="B2" s="1">
        <v>3.50000001490116</v>
      </c>
      <c r="C2" s="1">
        <v>1.08306121826172</v>
      </c>
      <c r="D2" s="1">
        <v>12.5000009536743</v>
      </c>
      <c r="E2" s="1">
        <v>0.0</v>
      </c>
      <c r="F2" s="1">
        <v>0.869983016664176</v>
      </c>
      <c r="G2" s="1">
        <v>1.0</v>
      </c>
      <c r="H2" s="1">
        <v>0.869983016664176</v>
      </c>
      <c r="I2" s="1">
        <v>-3.0</v>
      </c>
      <c r="J2" s="1">
        <v>-3.0</v>
      </c>
      <c r="K2" s="1">
        <v>-4.0</v>
      </c>
      <c r="L2" s="1">
        <v>17.0</v>
      </c>
      <c r="M2" s="4">
        <f t="shared" ref="M2:M21" si="1">SQRT(I2*I2 + J2*J2)</f>
        <v>4.242640687</v>
      </c>
      <c r="N2" s="4">
        <f t="shared" ref="N2:N21" si="2">SQRT(A2*A2 + B2*B2) * 0.9</f>
        <v>3.656250032</v>
      </c>
      <c r="O2" s="4">
        <f t="shared" ref="O2:O21" si="3"> (M2 - N2)</f>
        <v>0.5863906551</v>
      </c>
      <c r="P2" s="4">
        <f t="shared" ref="P2:P21" si="4"> O2 * O2</f>
        <v>0.3438540004</v>
      </c>
      <c r="Q2" s="5">
        <f t="shared" ref="Q2:Q21" si="5">MOD(ATAN(I2 / (J2 + 0.001)) / PI() * 360, 360)</f>
        <v>90.01910178</v>
      </c>
      <c r="R2" s="5">
        <f t="shared" ref="R2:R21" si="6">MOD(ATAN(B2 / (A2 + 0.001)) / PI() * 360, 360)</f>
        <v>118.9552258</v>
      </c>
      <c r="S2" s="5">
        <f t="shared" ref="S2:S21" si="7">Q2 - R2</f>
        <v>-28.93612403</v>
      </c>
      <c r="T2" s="5">
        <f t="shared" ref="T2:T21" si="8"> R2 + S$22</f>
        <v>187.1820446</v>
      </c>
    </row>
    <row r="3">
      <c r="A3" s="1">
        <v>3.50000001490116</v>
      </c>
      <c r="B3" s="1">
        <v>8.62499982118607</v>
      </c>
      <c r="C3" s="1">
        <v>1.00000023841858</v>
      </c>
      <c r="D3" s="1">
        <v>4.99998474121094</v>
      </c>
      <c r="E3" s="1">
        <v>1.0</v>
      </c>
      <c r="F3" s="1">
        <v>1.0</v>
      </c>
      <c r="G3" s="1">
        <v>0.0</v>
      </c>
      <c r="H3" s="1">
        <v>0.0</v>
      </c>
      <c r="I3" s="1">
        <v>-3.0</v>
      </c>
      <c r="J3" s="1">
        <v>-7.0</v>
      </c>
      <c r="K3" s="1">
        <v>0.0</v>
      </c>
      <c r="L3" s="1">
        <v>8.0</v>
      </c>
      <c r="M3" s="4">
        <f t="shared" si="1"/>
        <v>7.615773106</v>
      </c>
      <c r="N3" s="4">
        <f t="shared" si="2"/>
        <v>8.377284992</v>
      </c>
      <c r="O3" s="4">
        <f t="shared" si="3"/>
        <v>-0.7615118861</v>
      </c>
      <c r="P3" s="4">
        <f t="shared" si="4"/>
        <v>0.5799003526</v>
      </c>
      <c r="Q3" s="5">
        <f t="shared" si="5"/>
        <v>46.40310889</v>
      </c>
      <c r="R3" s="5">
        <f t="shared" si="6"/>
        <v>135.8142488</v>
      </c>
      <c r="S3" s="5">
        <f t="shared" si="7"/>
        <v>-89.41113987</v>
      </c>
      <c r="T3" s="5">
        <f t="shared" si="8"/>
        <v>204.0410676</v>
      </c>
    </row>
    <row r="4">
      <c r="A4" s="1">
        <v>1.97755118506883</v>
      </c>
      <c r="B4" s="1">
        <v>6.92943561877662</v>
      </c>
      <c r="C4" s="1">
        <v>1.02040702350922</v>
      </c>
      <c r="D4" s="1">
        <v>18.9999928474426</v>
      </c>
      <c r="E4" s="1">
        <v>1.0</v>
      </c>
      <c r="F4" s="1">
        <v>0.924808260278828</v>
      </c>
      <c r="G4" s="1">
        <v>2.0</v>
      </c>
      <c r="H4" s="1">
        <v>0.84351564818231</v>
      </c>
      <c r="I4" s="1">
        <v>-3.0</v>
      </c>
      <c r="J4" s="1">
        <v>-7.0</v>
      </c>
      <c r="K4" s="1">
        <v>-1.0</v>
      </c>
      <c r="L4" s="1">
        <v>24.0</v>
      </c>
      <c r="M4" s="4">
        <f t="shared" si="1"/>
        <v>7.615773106</v>
      </c>
      <c r="N4" s="4">
        <f t="shared" si="2"/>
        <v>6.485484347</v>
      </c>
      <c r="O4" s="4">
        <f t="shared" si="3"/>
        <v>1.130288759</v>
      </c>
      <c r="P4" s="4">
        <f t="shared" si="4"/>
        <v>1.277552679</v>
      </c>
      <c r="Q4" s="5">
        <f t="shared" si="5"/>
        <v>46.40310889</v>
      </c>
      <c r="R4" s="5">
        <f t="shared" si="6"/>
        <v>148.1288945</v>
      </c>
      <c r="S4" s="5">
        <f t="shared" si="7"/>
        <v>-101.7257856</v>
      </c>
      <c r="T4" s="5">
        <f t="shared" si="8"/>
        <v>216.3557134</v>
      </c>
    </row>
    <row r="5">
      <c r="A5" s="1">
        <v>-0.181199292893289</v>
      </c>
      <c r="B5" s="1">
        <v>12.694648091722</v>
      </c>
      <c r="C5" s="1">
        <v>1.07588376423919</v>
      </c>
      <c r="D5" s="1">
        <v>11.4999852180481</v>
      </c>
      <c r="E5" s="1">
        <v>2.0</v>
      </c>
      <c r="F5" s="1">
        <v>1.0</v>
      </c>
      <c r="G5" s="1">
        <v>1.0</v>
      </c>
      <c r="H5" s="1">
        <v>0.823768075185922</v>
      </c>
      <c r="I5" s="1">
        <v>1.0</v>
      </c>
      <c r="J5" s="1">
        <v>-11.0</v>
      </c>
      <c r="K5" s="1">
        <v>-3.0</v>
      </c>
      <c r="L5" s="1">
        <v>15.0</v>
      </c>
      <c r="M5" s="4">
        <f t="shared" si="1"/>
        <v>11.04536102</v>
      </c>
      <c r="N5" s="4">
        <f t="shared" si="2"/>
        <v>11.42634709</v>
      </c>
      <c r="O5" s="4">
        <f t="shared" si="3"/>
        <v>-0.3809860771</v>
      </c>
      <c r="P5" s="4">
        <f t="shared" si="4"/>
        <v>0.1451503909</v>
      </c>
      <c r="Q5" s="5">
        <f t="shared" si="5"/>
        <v>349.6102028</v>
      </c>
      <c r="R5" s="5">
        <f t="shared" si="6"/>
        <v>181.6265068</v>
      </c>
      <c r="S5" s="5">
        <f t="shared" si="7"/>
        <v>167.983696</v>
      </c>
      <c r="T5" s="5">
        <f t="shared" si="8"/>
        <v>249.8533256</v>
      </c>
    </row>
    <row r="6">
      <c r="A6" s="1">
        <v>-0.348444647339765</v>
      </c>
      <c r="B6" s="1">
        <v>16.5409351244894</v>
      </c>
      <c r="C6" s="1">
        <v>1.12714519960771</v>
      </c>
      <c r="D6" s="1">
        <v>23.250191450119</v>
      </c>
      <c r="E6" s="1">
        <v>2.0</v>
      </c>
      <c r="F6" s="1">
        <v>0.883496117267985</v>
      </c>
      <c r="G6" s="1">
        <v>2.0</v>
      </c>
      <c r="H6" s="1">
        <v>0.803819083693471</v>
      </c>
      <c r="I6" s="1">
        <v>1.0</v>
      </c>
      <c r="J6" s="1">
        <v>-16.0</v>
      </c>
      <c r="K6" s="1">
        <v>-5.0</v>
      </c>
      <c r="L6" s="1">
        <v>28.0</v>
      </c>
      <c r="M6" s="4">
        <f t="shared" si="1"/>
        <v>16.03121954</v>
      </c>
      <c r="N6" s="4">
        <f t="shared" si="2"/>
        <v>14.89014433</v>
      </c>
      <c r="O6" s="4">
        <f t="shared" si="3"/>
        <v>1.141075209</v>
      </c>
      <c r="P6" s="4">
        <f t="shared" si="4"/>
        <v>1.302052632</v>
      </c>
      <c r="Q6" s="5">
        <f t="shared" si="5"/>
        <v>352.8468853</v>
      </c>
      <c r="R6" s="5">
        <f t="shared" si="6"/>
        <v>182.4066578</v>
      </c>
      <c r="S6" s="5">
        <f t="shared" si="7"/>
        <v>170.4402276</v>
      </c>
      <c r="T6" s="5">
        <f t="shared" si="8"/>
        <v>250.6334766</v>
      </c>
    </row>
    <row r="7">
      <c r="A7" s="1">
        <v>1.7797542411891</v>
      </c>
      <c r="B7" s="1">
        <v>22.5787084137756</v>
      </c>
      <c r="C7" s="1">
        <v>1.07588376423919</v>
      </c>
      <c r="D7" s="1">
        <v>8.9999852180481</v>
      </c>
      <c r="E7" s="1">
        <v>3.0</v>
      </c>
      <c r="F7" s="1">
        <v>1.0</v>
      </c>
      <c r="G7" s="1">
        <v>0.0</v>
      </c>
      <c r="H7" s="1">
        <v>0.0</v>
      </c>
      <c r="I7" s="1">
        <v>1.0</v>
      </c>
      <c r="J7" s="1">
        <v>-20.0</v>
      </c>
      <c r="K7" s="1">
        <v>-3.0</v>
      </c>
      <c r="L7" s="1">
        <v>12.0</v>
      </c>
      <c r="M7" s="4">
        <f t="shared" si="1"/>
        <v>20.02498439</v>
      </c>
      <c r="N7" s="4">
        <f t="shared" si="2"/>
        <v>20.38386948</v>
      </c>
      <c r="O7" s="4">
        <f t="shared" si="3"/>
        <v>-0.3588850866</v>
      </c>
      <c r="P7" s="4">
        <f t="shared" si="4"/>
        <v>0.1287985054</v>
      </c>
      <c r="Q7" s="5">
        <f t="shared" si="5"/>
        <v>354.2749038</v>
      </c>
      <c r="R7" s="5">
        <f t="shared" si="6"/>
        <v>170.9809777</v>
      </c>
      <c r="S7" s="5">
        <f t="shared" si="7"/>
        <v>183.2939261</v>
      </c>
      <c r="T7" s="5">
        <f t="shared" si="8"/>
        <v>239.2077965</v>
      </c>
    </row>
    <row r="8">
      <c r="A8" s="1">
        <v>-3.26634918290367</v>
      </c>
      <c r="B8" s="1">
        <v>28.0727862604104</v>
      </c>
      <c r="C8" s="1">
        <v>1.13466421222543</v>
      </c>
      <c r="D8" s="1">
        <v>12.9999852180481</v>
      </c>
      <c r="E8" s="1">
        <v>4.0</v>
      </c>
      <c r="F8" s="1">
        <v>1.0</v>
      </c>
      <c r="G8" s="1">
        <v>1.0</v>
      </c>
      <c r="H8" s="1">
        <v>0.77502525113972</v>
      </c>
      <c r="I8" s="1">
        <v>6.0</v>
      </c>
      <c r="J8" s="1">
        <v>-25.0</v>
      </c>
      <c r="K8" s="1">
        <v>-5.0</v>
      </c>
      <c r="L8" s="1">
        <v>17.0</v>
      </c>
      <c r="M8" s="4">
        <f t="shared" si="1"/>
        <v>25.70992026</v>
      </c>
      <c r="N8" s="4">
        <f t="shared" si="2"/>
        <v>25.43595479</v>
      </c>
      <c r="O8" s="4">
        <f t="shared" si="3"/>
        <v>0.2739654763</v>
      </c>
      <c r="P8" s="4">
        <f t="shared" si="4"/>
        <v>0.07505708221</v>
      </c>
      <c r="Q8" s="5">
        <f t="shared" si="5"/>
        <v>333.0074932</v>
      </c>
      <c r="R8" s="5">
        <f t="shared" si="6"/>
        <v>193.2693455</v>
      </c>
      <c r="S8" s="5">
        <f t="shared" si="7"/>
        <v>139.7381477</v>
      </c>
      <c r="T8" s="5">
        <f t="shared" si="8"/>
        <v>261.4961643</v>
      </c>
    </row>
    <row r="9">
      <c r="A9" s="1">
        <v>-8.80318872018217</v>
      </c>
      <c r="B9" s="1">
        <v>32.2215091276805</v>
      </c>
      <c r="C9" s="1">
        <v>1.16524801361818</v>
      </c>
      <c r="D9" s="1">
        <v>23.4999852180481</v>
      </c>
      <c r="E9" s="1">
        <v>5.0</v>
      </c>
      <c r="F9" s="1">
        <v>1.0</v>
      </c>
      <c r="G9" s="1">
        <v>1.0</v>
      </c>
      <c r="H9" s="1">
        <v>0.799450141955413</v>
      </c>
      <c r="I9" s="1">
        <v>11.0</v>
      </c>
      <c r="J9" s="1">
        <v>-29.0</v>
      </c>
      <c r="K9" s="1">
        <v>-6.0</v>
      </c>
      <c r="L9" s="1">
        <v>28.0</v>
      </c>
      <c r="M9" s="4">
        <f t="shared" si="1"/>
        <v>31.01612484</v>
      </c>
      <c r="N9" s="4">
        <f t="shared" si="2"/>
        <v>30.06217962</v>
      </c>
      <c r="O9" s="4">
        <f t="shared" si="3"/>
        <v>0.9539452185</v>
      </c>
      <c r="P9" s="4">
        <f t="shared" si="4"/>
        <v>0.9100114799</v>
      </c>
      <c r="Q9" s="5">
        <f t="shared" si="5"/>
        <v>318.4541803</v>
      </c>
      <c r="R9" s="5">
        <f t="shared" si="6"/>
        <v>210.5582438</v>
      </c>
      <c r="S9" s="5">
        <f t="shared" si="7"/>
        <v>107.8959365</v>
      </c>
      <c r="T9" s="5">
        <f t="shared" si="8"/>
        <v>278.7850627</v>
      </c>
    </row>
    <row r="10">
      <c r="A10" s="1">
        <v>-14.3105945782789</v>
      </c>
      <c r="B10" s="1">
        <v>33.5115413173313</v>
      </c>
      <c r="C10" s="1">
        <v>1.13466420659342</v>
      </c>
      <c r="D10" s="1">
        <v>23.9999852180481</v>
      </c>
      <c r="E10" s="1">
        <v>6.0</v>
      </c>
      <c r="F10" s="1">
        <v>1.0</v>
      </c>
      <c r="G10" s="1">
        <v>1.0</v>
      </c>
      <c r="H10" s="1">
        <v>0.836037963431229</v>
      </c>
      <c r="I10" s="1">
        <v>16.0</v>
      </c>
      <c r="J10" s="1">
        <v>-29.0</v>
      </c>
      <c r="K10" s="1">
        <v>-5.0</v>
      </c>
      <c r="L10" s="1">
        <v>29.0</v>
      </c>
      <c r="M10" s="4">
        <f t="shared" si="1"/>
        <v>33.12099032</v>
      </c>
      <c r="N10" s="4">
        <f t="shared" si="2"/>
        <v>32.79529509</v>
      </c>
      <c r="O10" s="4">
        <f t="shared" si="3"/>
        <v>0.3256952324</v>
      </c>
      <c r="P10" s="4">
        <f t="shared" si="4"/>
        <v>0.1060773844</v>
      </c>
      <c r="Q10" s="5">
        <f t="shared" si="5"/>
        <v>302.2251651</v>
      </c>
      <c r="R10" s="5">
        <f t="shared" si="6"/>
        <v>226.2454457</v>
      </c>
      <c r="S10" s="5">
        <f t="shared" si="7"/>
        <v>75.97971938</v>
      </c>
      <c r="T10" s="5">
        <f t="shared" si="8"/>
        <v>294.4722645</v>
      </c>
    </row>
    <row r="11">
      <c r="A11" s="1">
        <v>-16.4400403311756</v>
      </c>
      <c r="B11" s="1">
        <v>39.9194610116252</v>
      </c>
      <c r="C11" s="1">
        <v>1.09028701049276</v>
      </c>
      <c r="D11" s="1">
        <v>10.4999842643738</v>
      </c>
      <c r="E11" s="1">
        <v>7.0</v>
      </c>
      <c r="F11" s="1">
        <v>1.0</v>
      </c>
      <c r="G11" s="1">
        <v>1.0</v>
      </c>
      <c r="H11" s="1">
        <v>0.797674092802486</v>
      </c>
      <c r="I11" s="1">
        <v>20.0</v>
      </c>
      <c r="J11" s="1">
        <v>-34.0</v>
      </c>
      <c r="K11" s="1">
        <v>-3.0</v>
      </c>
      <c r="L11" s="1">
        <v>11.0</v>
      </c>
      <c r="M11" s="4">
        <f t="shared" si="1"/>
        <v>39.44616585</v>
      </c>
      <c r="N11" s="4">
        <f t="shared" si="2"/>
        <v>38.85497417</v>
      </c>
      <c r="O11" s="4">
        <f t="shared" si="3"/>
        <v>0.5911916763</v>
      </c>
      <c r="P11" s="4">
        <f t="shared" si="4"/>
        <v>0.3495075982</v>
      </c>
      <c r="Q11" s="5">
        <f t="shared" si="5"/>
        <v>299.0674372</v>
      </c>
      <c r="R11" s="5">
        <f t="shared" si="6"/>
        <v>224.7642345</v>
      </c>
      <c r="S11" s="5">
        <f t="shared" si="7"/>
        <v>74.30320278</v>
      </c>
      <c r="T11" s="5">
        <f t="shared" si="8"/>
        <v>292.9910533</v>
      </c>
    </row>
    <row r="12">
      <c r="A12" s="1">
        <v>-20.9187921717098</v>
      </c>
      <c r="B12" s="1">
        <v>45.2109378391623</v>
      </c>
      <c r="C12" s="1">
        <v>1.02695421866533</v>
      </c>
      <c r="D12" s="1">
        <v>1.49998426437378</v>
      </c>
      <c r="E12" s="1">
        <v>8.0</v>
      </c>
      <c r="F12" s="1">
        <v>1.0</v>
      </c>
      <c r="G12" s="1">
        <v>1.0</v>
      </c>
      <c r="H12" s="1">
        <v>0.781714184688992</v>
      </c>
      <c r="I12" s="1">
        <v>25.0</v>
      </c>
      <c r="J12" s="1">
        <v>-38.0</v>
      </c>
      <c r="K12" s="1">
        <v>0.0</v>
      </c>
      <c r="L12" s="1">
        <v>1.0</v>
      </c>
      <c r="M12" s="4">
        <f t="shared" si="1"/>
        <v>45.48626166</v>
      </c>
      <c r="N12" s="4">
        <f t="shared" si="2"/>
        <v>44.83431789</v>
      </c>
      <c r="O12" s="4">
        <f t="shared" si="3"/>
        <v>0.6519437724</v>
      </c>
      <c r="P12" s="4">
        <f t="shared" si="4"/>
        <v>0.4250306824</v>
      </c>
      <c r="Q12" s="5">
        <f t="shared" si="5"/>
        <v>293.3172007</v>
      </c>
      <c r="R12" s="5">
        <f t="shared" si="6"/>
        <v>229.6572288</v>
      </c>
      <c r="S12" s="5">
        <f t="shared" si="7"/>
        <v>63.6599719</v>
      </c>
      <c r="T12" s="5">
        <f t="shared" si="8"/>
        <v>297.8840476</v>
      </c>
    </row>
    <row r="13">
      <c r="A13" s="1">
        <v>-20.5018779509132</v>
      </c>
      <c r="B13" s="1">
        <v>50.2140510679008</v>
      </c>
      <c r="C13" s="1">
        <v>1.15752563161926</v>
      </c>
      <c r="D13" s="1">
        <v>7.99998474121094</v>
      </c>
      <c r="E13" s="1">
        <v>9.0</v>
      </c>
      <c r="F13" s="1">
        <v>1.0</v>
      </c>
      <c r="G13" s="1">
        <v>1.0</v>
      </c>
      <c r="H13" s="1">
        <v>0.846784148424715</v>
      </c>
      <c r="I13" s="1">
        <v>25.0</v>
      </c>
      <c r="J13" s="1">
        <v>-43.0</v>
      </c>
      <c r="K13" s="1">
        <v>-5.0</v>
      </c>
      <c r="L13" s="1">
        <v>11.0</v>
      </c>
      <c r="M13" s="4">
        <f t="shared" si="1"/>
        <v>49.73932046</v>
      </c>
      <c r="N13" s="4">
        <f t="shared" si="2"/>
        <v>48.81434337</v>
      </c>
      <c r="O13" s="4">
        <f t="shared" si="3"/>
        <v>0.9249770925</v>
      </c>
      <c r="P13" s="4">
        <f t="shared" si="4"/>
        <v>0.8555826217</v>
      </c>
      <c r="Q13" s="5">
        <f t="shared" si="5"/>
        <v>299.651802</v>
      </c>
      <c r="R13" s="5">
        <f t="shared" si="6"/>
        <v>224.4174161</v>
      </c>
      <c r="S13" s="5">
        <f t="shared" si="7"/>
        <v>75.23438584</v>
      </c>
      <c r="T13" s="5">
        <f t="shared" si="8"/>
        <v>292.644235</v>
      </c>
    </row>
    <row r="14">
      <c r="A14" s="1">
        <v>-24.9692765834957</v>
      </c>
      <c r="B14" s="1">
        <v>56.3954750567616</v>
      </c>
      <c r="C14" s="1">
        <v>1.16272639210964</v>
      </c>
      <c r="D14" s="1">
        <v>7.33695983886719</v>
      </c>
      <c r="E14" s="1">
        <v>10.0</v>
      </c>
      <c r="F14" s="1">
        <v>1.0</v>
      </c>
      <c r="G14" s="1">
        <v>1.0</v>
      </c>
      <c r="H14" s="1">
        <v>0.780863686395772</v>
      </c>
      <c r="I14" s="1">
        <v>30.0</v>
      </c>
      <c r="J14" s="1">
        <v>-48.0</v>
      </c>
      <c r="K14" s="1">
        <v>-5.0</v>
      </c>
      <c r="L14" s="1">
        <v>7.0</v>
      </c>
      <c r="M14" s="4">
        <f t="shared" si="1"/>
        <v>56.60388679</v>
      </c>
      <c r="N14" s="4">
        <f t="shared" si="2"/>
        <v>55.5082935</v>
      </c>
      <c r="O14" s="4">
        <f t="shared" si="3"/>
        <v>1.095593288</v>
      </c>
      <c r="P14" s="4">
        <f t="shared" si="4"/>
        <v>1.200324652</v>
      </c>
      <c r="Q14" s="5">
        <f t="shared" si="5"/>
        <v>295.9881606</v>
      </c>
      <c r="R14" s="5">
        <f t="shared" si="6"/>
        <v>227.7613418</v>
      </c>
      <c r="S14" s="5">
        <f t="shared" si="7"/>
        <v>68.22681883</v>
      </c>
      <c r="T14" s="5">
        <f t="shared" si="8"/>
        <v>295.9881606</v>
      </c>
    </row>
    <row r="15">
      <c r="A15" s="1">
        <v>-28.2264161438533</v>
      </c>
      <c r="B15" s="1">
        <v>62.750681502933</v>
      </c>
      <c r="C15" s="1">
        <v>1.08071750085555</v>
      </c>
      <c r="D15" s="1">
        <v>3.83695960044861</v>
      </c>
      <c r="E15" s="1">
        <v>11.0</v>
      </c>
      <c r="F15" s="1">
        <v>1.0</v>
      </c>
      <c r="G15" s="1">
        <v>1.0</v>
      </c>
      <c r="H15" s="1">
        <v>0.787788738207445</v>
      </c>
      <c r="I15" s="1">
        <v>34.0</v>
      </c>
      <c r="J15" s="1">
        <v>-53.0</v>
      </c>
      <c r="K15" s="1">
        <v>-2.0</v>
      </c>
      <c r="L15" s="1">
        <v>3.0</v>
      </c>
      <c r="M15" s="4">
        <f t="shared" si="1"/>
        <v>62.96824597</v>
      </c>
      <c r="N15" s="4">
        <f t="shared" si="2"/>
        <v>61.92613878</v>
      </c>
      <c r="O15" s="4">
        <f t="shared" si="3"/>
        <v>1.042107188</v>
      </c>
      <c r="P15" s="4">
        <f t="shared" si="4"/>
        <v>1.085987392</v>
      </c>
      <c r="Q15" s="5">
        <f t="shared" si="5"/>
        <v>294.6379079</v>
      </c>
      <c r="R15" s="5">
        <f t="shared" si="6"/>
        <v>228.4366727</v>
      </c>
      <c r="S15" s="5">
        <f t="shared" si="7"/>
        <v>66.20123514</v>
      </c>
      <c r="T15" s="5">
        <f t="shared" si="8"/>
        <v>296.6634916</v>
      </c>
    </row>
    <row r="16">
      <c r="A16" s="1">
        <v>-32.4372463744964</v>
      </c>
      <c r="B16" s="1">
        <v>68.4963046919791</v>
      </c>
      <c r="C16" s="1">
        <v>1.13988043417719</v>
      </c>
      <c r="D16" s="1">
        <v>13.3299558162689</v>
      </c>
      <c r="E16" s="1">
        <v>12.0</v>
      </c>
      <c r="F16" s="1">
        <v>1.0</v>
      </c>
      <c r="G16" s="1">
        <v>1.0</v>
      </c>
      <c r="H16" s="1">
        <v>0.786140737482753</v>
      </c>
      <c r="I16" s="1">
        <v>38.0</v>
      </c>
      <c r="J16" s="1">
        <v>-58.0</v>
      </c>
      <c r="K16" s="1">
        <v>-4.0</v>
      </c>
      <c r="L16" s="1">
        <v>16.0</v>
      </c>
      <c r="M16" s="4">
        <f t="shared" si="1"/>
        <v>69.33974329</v>
      </c>
      <c r="N16" s="4">
        <f t="shared" si="2"/>
        <v>68.20978049</v>
      </c>
      <c r="O16" s="4">
        <f t="shared" si="3"/>
        <v>1.129962806</v>
      </c>
      <c r="P16" s="4">
        <f t="shared" si="4"/>
        <v>1.276815943</v>
      </c>
      <c r="Q16" s="5">
        <f t="shared" si="5"/>
        <v>293.5356722</v>
      </c>
      <c r="R16" s="5">
        <f t="shared" si="6"/>
        <v>230.679546</v>
      </c>
      <c r="S16" s="5">
        <f t="shared" si="7"/>
        <v>62.85612616</v>
      </c>
      <c r="T16" s="5">
        <f t="shared" si="8"/>
        <v>298.9063649</v>
      </c>
    </row>
    <row r="17">
      <c r="A17" s="1">
        <v>-37.4363610789517</v>
      </c>
      <c r="B17" s="1">
        <v>69.3804814319209</v>
      </c>
      <c r="C17" s="1">
        <v>1.1784145143874</v>
      </c>
      <c r="D17" s="1">
        <v>12.8299558162689</v>
      </c>
      <c r="E17" s="1">
        <v>12.0</v>
      </c>
      <c r="F17" s="1">
        <v>0.854010428449089</v>
      </c>
      <c r="G17" s="1">
        <v>1.0</v>
      </c>
      <c r="H17" s="1">
        <v>0.854010428449089</v>
      </c>
      <c r="I17" s="1">
        <v>43.0</v>
      </c>
      <c r="J17" s="1">
        <v>-58.0</v>
      </c>
      <c r="K17" s="1">
        <v>-5.0</v>
      </c>
      <c r="L17" s="1">
        <v>15.0</v>
      </c>
      <c r="M17" s="4">
        <f t="shared" si="1"/>
        <v>72.20110802</v>
      </c>
      <c r="N17" s="4">
        <f t="shared" si="2"/>
        <v>70.95249954</v>
      </c>
      <c r="O17" s="4">
        <f t="shared" si="3"/>
        <v>1.248608485</v>
      </c>
      <c r="P17" s="4">
        <f t="shared" si="4"/>
        <v>1.559023148</v>
      </c>
      <c r="Q17" s="5">
        <f t="shared" si="5"/>
        <v>286.8941093</v>
      </c>
      <c r="R17" s="5">
        <f t="shared" si="6"/>
        <v>236.6995965</v>
      </c>
      <c r="S17" s="5">
        <f t="shared" si="7"/>
        <v>50.19451276</v>
      </c>
      <c r="T17" s="5">
        <f t="shared" si="8"/>
        <v>304.9264153</v>
      </c>
    </row>
    <row r="18">
      <c r="A18" s="1">
        <v>-37.0229170041405</v>
      </c>
      <c r="B18" s="1">
        <v>69.7759015550359</v>
      </c>
      <c r="C18" s="1">
        <v>1.1173675249206</v>
      </c>
      <c r="D18" s="1">
        <v>4.32997107505798</v>
      </c>
      <c r="E18" s="1">
        <v>12.0</v>
      </c>
      <c r="F18" s="1">
        <v>0.859390567823922</v>
      </c>
      <c r="G18" s="1">
        <v>1.0</v>
      </c>
      <c r="H18" s="1">
        <v>0.859390567823922</v>
      </c>
      <c r="I18" s="1">
        <v>43.0</v>
      </c>
      <c r="J18" s="1">
        <v>-58.0</v>
      </c>
      <c r="K18" s="1">
        <v>-3.0</v>
      </c>
      <c r="L18" s="1">
        <v>3.0</v>
      </c>
      <c r="M18" s="4">
        <f t="shared" si="1"/>
        <v>72.20110802</v>
      </c>
      <c r="N18" s="4">
        <f t="shared" si="2"/>
        <v>71.09073066</v>
      </c>
      <c r="O18" s="4">
        <f t="shared" si="3"/>
        <v>1.110377368</v>
      </c>
      <c r="P18" s="4">
        <f t="shared" si="4"/>
        <v>1.2329379</v>
      </c>
      <c r="Q18" s="5">
        <f t="shared" si="5"/>
        <v>286.8941093</v>
      </c>
      <c r="R18" s="5">
        <f t="shared" si="6"/>
        <v>235.8993356</v>
      </c>
      <c r="S18" s="5">
        <f t="shared" si="7"/>
        <v>50.99477362</v>
      </c>
      <c r="T18" s="5">
        <f t="shared" si="8"/>
        <v>304.1261545</v>
      </c>
    </row>
    <row r="19">
      <c r="A19" s="1">
        <v>-42.4353609788894</v>
      </c>
      <c r="B19" s="1">
        <v>74.3070311385521</v>
      </c>
      <c r="C19" s="1">
        <v>1.07365441704239</v>
      </c>
      <c r="D19" s="1">
        <v>24.8299567699432</v>
      </c>
      <c r="E19" s="1">
        <v>13.0</v>
      </c>
      <c r="F19" s="1">
        <v>1.0</v>
      </c>
      <c r="G19" s="1">
        <v>0.0</v>
      </c>
      <c r="H19" s="1">
        <v>0.0</v>
      </c>
      <c r="I19" s="1">
        <v>47.0</v>
      </c>
      <c r="J19" s="1">
        <v>-63.0</v>
      </c>
      <c r="K19" s="1">
        <v>-1.0</v>
      </c>
      <c r="L19" s="1">
        <v>28.0</v>
      </c>
      <c r="M19" s="4">
        <f t="shared" si="1"/>
        <v>78.60025445</v>
      </c>
      <c r="N19" s="4">
        <f t="shared" si="2"/>
        <v>77.01336727</v>
      </c>
      <c r="O19" s="4">
        <f t="shared" si="3"/>
        <v>1.586887185</v>
      </c>
      <c r="P19" s="4">
        <f t="shared" si="4"/>
        <v>2.518210939</v>
      </c>
      <c r="Q19" s="5">
        <f t="shared" si="5"/>
        <v>286.5509139</v>
      </c>
      <c r="R19" s="5">
        <f t="shared" si="6"/>
        <v>239.4586022</v>
      </c>
      <c r="S19" s="5">
        <f t="shared" si="7"/>
        <v>47.09231163</v>
      </c>
      <c r="T19" s="5">
        <f t="shared" si="8"/>
        <v>307.6854211</v>
      </c>
    </row>
    <row r="20">
      <c r="A20" s="1">
        <v>-45.5721954724217</v>
      </c>
      <c r="B20" s="1">
        <v>80.8092013879809</v>
      </c>
      <c r="C20" s="1">
        <v>1.1474718955098</v>
      </c>
      <c r="D20" s="1">
        <v>22.8299567699432</v>
      </c>
      <c r="E20" s="1">
        <v>14.0</v>
      </c>
      <c r="F20" s="1">
        <v>1.0</v>
      </c>
      <c r="G20" s="1">
        <v>1.0</v>
      </c>
      <c r="H20" s="1">
        <v>0.783314854233246</v>
      </c>
      <c r="I20" s="1">
        <v>51.0</v>
      </c>
      <c r="J20" s="1">
        <v>-68.0</v>
      </c>
      <c r="K20" s="1">
        <v>-3.0</v>
      </c>
      <c r="L20" s="1">
        <v>25.0</v>
      </c>
      <c r="M20" s="4">
        <f t="shared" si="1"/>
        <v>85</v>
      </c>
      <c r="N20" s="4">
        <f t="shared" si="2"/>
        <v>83.49629419</v>
      </c>
      <c r="O20" s="4">
        <f t="shared" si="3"/>
        <v>1.503705809</v>
      </c>
      <c r="P20" s="4">
        <f t="shared" si="4"/>
        <v>2.261131161</v>
      </c>
      <c r="Q20" s="5">
        <f t="shared" si="5"/>
        <v>286.2593958</v>
      </c>
      <c r="R20" s="5">
        <f t="shared" si="6"/>
        <v>238.8404084</v>
      </c>
      <c r="S20" s="5">
        <f t="shared" si="7"/>
        <v>47.4189874</v>
      </c>
      <c r="T20" s="5">
        <f t="shared" si="8"/>
        <v>307.0672272</v>
      </c>
    </row>
    <row r="21">
      <c r="A21" s="1">
        <v>-44.5765902725092</v>
      </c>
      <c r="B21" s="1">
        <v>82.10940265157</v>
      </c>
      <c r="C21" s="1">
        <v>1.08081728175336</v>
      </c>
      <c r="D21" s="1">
        <v>11.3299486637115</v>
      </c>
      <c r="E21" s="1">
        <v>14.0</v>
      </c>
      <c r="F21" s="1">
        <v>0.95100558451325</v>
      </c>
      <c r="G21" s="1">
        <v>2.0</v>
      </c>
      <c r="H21" s="1">
        <v>0.850323602593243</v>
      </c>
      <c r="I21" s="1">
        <v>51.0</v>
      </c>
      <c r="J21" s="1">
        <v>-68.0</v>
      </c>
      <c r="K21" s="1">
        <v>-1.0</v>
      </c>
      <c r="L21" s="1">
        <v>9.0</v>
      </c>
      <c r="M21" s="4">
        <f t="shared" si="1"/>
        <v>85</v>
      </c>
      <c r="N21" s="4">
        <f t="shared" si="2"/>
        <v>84.08633294</v>
      </c>
      <c r="O21" s="4">
        <f t="shared" si="3"/>
        <v>0.9136670598</v>
      </c>
      <c r="P21" s="4">
        <f t="shared" si="4"/>
        <v>0.8347874961</v>
      </c>
      <c r="Q21" s="5">
        <f t="shared" si="5"/>
        <v>286.2593958</v>
      </c>
      <c r="R21" s="5">
        <f t="shared" si="6"/>
        <v>236.993341</v>
      </c>
      <c r="S21" s="5">
        <f t="shared" si="7"/>
        <v>49.26605484</v>
      </c>
      <c r="T21" s="5">
        <f t="shared" si="8"/>
        <v>305.2201598</v>
      </c>
    </row>
    <row r="22">
      <c r="Q22" s="5"/>
      <c r="S22" s="5">
        <f> MEDIAN(S2:S18)</f>
        <v>68.22681883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