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<sst xmlns="http://schemas.openxmlformats.org/spreadsheetml/2006/main" count="20" uniqueCount="20">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</sst>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1264190584"/>
        <c:axId val="1278505056"/>
      </c:lineChart>
      <c:catAx>
        <c:axId val="1264190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505056"/>
      </c:catAx>
      <c:valAx>
        <c:axId val="1278505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190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1305913636"/>
        <c:axId val="965047807"/>
      </c:lineChart>
      <c:catAx>
        <c:axId val="1305913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047807"/>
      </c:catAx>
      <c:valAx>
        <c:axId val="965047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913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6111"/>
        <c:axId val="1634399500"/>
      </c:scatterChart>
      <c:valAx>
        <c:axId val="7484861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399500"/>
      </c:valAx>
      <c:valAx>
        <c:axId val="1634399500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486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58876"/>
        <c:axId val="1012400899"/>
      </c:scatterChart>
      <c:valAx>
        <c:axId val="7463588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400899"/>
      </c:valAx>
      <c:valAx>
        <c:axId val="1012400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358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-2.75000005960465</v>
      </c>
      <c r="B2" s="1">
        <v>-11.0625001788139</v>
      </c>
      <c r="C2" s="1">
        <v>1.04070246219635</v>
      </c>
      <c r="D2" s="1">
        <v>24.4999847412109</v>
      </c>
      <c r="E2" s="1">
        <v>1.0</v>
      </c>
      <c r="F2" s="1">
        <v>1.0</v>
      </c>
      <c r="G2" s="1">
        <v>0.0</v>
      </c>
      <c r="H2" s="1">
        <v>0.0</v>
      </c>
      <c r="I2" s="1">
        <v>-1.0</v>
      </c>
      <c r="J2" s="1">
        <v>9.0</v>
      </c>
      <c r="K2" s="1">
        <v>-2.0</v>
      </c>
      <c r="L2" s="1">
        <v>29.0</v>
      </c>
      <c r="M2" s="4">
        <f t="shared" ref="M2:M21" si="1">SQRT(I2*I2 + J2*J2)</f>
        <v>9.055385138</v>
      </c>
      <c r="N2" s="4">
        <f t="shared" ref="N2:N21" si="2">SQRT(A2*A2 + B2*B2) * 0.9</f>
        <v>10.25926618</v>
      </c>
      <c r="O2" s="4">
        <f t="shared" ref="O2:O21" si="3"> (M2 - N2)</f>
        <v>-1.203881041</v>
      </c>
      <c r="P2" s="4">
        <f t="shared" ref="P2:P21" si="4"> O2 * O2</f>
        <v>1.449329561</v>
      </c>
      <c r="Q2" s="5">
        <f t="shared" ref="Q2:Q21" si="5">MOD(ATAN(I2 / (J2 + 0.001)) / PI() * 360, 360)</f>
        <v>347.3210138</v>
      </c>
      <c r="R2" s="5">
        <f t="shared" ref="R2:R21" si="6">MOD(ATAN(B2 / (A2 + 0.001)) / PI() * 360, 360)</f>
        <v>152.0896511</v>
      </c>
      <c r="S2" s="5">
        <f t="shared" ref="S2:S21" si="7">Q2 - R2</f>
        <v>195.2313627</v>
      </c>
      <c r="T2" s="5">
        <f t="shared" ref="T2:T21" si="8"> R2 + S$22</f>
        <v>103.4146023</v>
      </c>
    </row>
    <row r="3">
      <c r="A3" s="1">
        <v>-3.01769278206928</v>
      </c>
      <c r="B3" s="1">
        <v>-11.7784763068087</v>
      </c>
      <c r="C3" s="1">
        <v>1.02014834143766</v>
      </c>
      <c r="D3" s="1">
        <v>11.9999837875366</v>
      </c>
      <c r="E3" s="1">
        <v>1.0</v>
      </c>
      <c r="F3" s="1">
        <v>0.975272902071088</v>
      </c>
      <c r="G3" s="1">
        <v>1.0</v>
      </c>
      <c r="H3" s="1">
        <v>0.975272902071088</v>
      </c>
      <c r="I3" s="1">
        <v>0.0</v>
      </c>
      <c r="J3" s="1">
        <v>11.0</v>
      </c>
      <c r="K3" s="1">
        <v>-1.0</v>
      </c>
      <c r="L3" s="1">
        <v>13.0</v>
      </c>
      <c r="M3" s="4">
        <f t="shared" si="1"/>
        <v>11</v>
      </c>
      <c r="N3" s="4">
        <f t="shared" si="2"/>
        <v>10.94301461</v>
      </c>
      <c r="O3" s="4">
        <f t="shared" si="3"/>
        <v>0.05698538756</v>
      </c>
      <c r="P3" s="4">
        <f t="shared" si="4"/>
        <v>0.003247334396</v>
      </c>
      <c r="Q3" s="5">
        <f t="shared" si="5"/>
        <v>0</v>
      </c>
      <c r="R3" s="5">
        <f t="shared" si="6"/>
        <v>151.2685186</v>
      </c>
      <c r="S3" s="5">
        <f t="shared" si="7"/>
        <v>-151.2685186</v>
      </c>
      <c r="T3" s="5">
        <f t="shared" si="8"/>
        <v>102.5934697</v>
      </c>
    </row>
    <row r="4">
      <c r="A4" s="1">
        <v>-4.39841648594111</v>
      </c>
      <c r="B4" s="1">
        <v>-12.8036956082508</v>
      </c>
      <c r="C4" s="1">
        <v>1.08306149076014</v>
      </c>
      <c r="D4" s="1">
        <v>11.9999837875366</v>
      </c>
      <c r="E4" s="1">
        <v>1.0</v>
      </c>
      <c r="F4" s="1">
        <v>0.924733781934206</v>
      </c>
      <c r="G4" s="1">
        <v>1.0</v>
      </c>
      <c r="H4" s="1">
        <v>0.924733781934206</v>
      </c>
      <c r="I4" s="1">
        <v>1.0</v>
      </c>
      <c r="J4" s="1">
        <v>13.0</v>
      </c>
      <c r="K4" s="1">
        <v>-4.0</v>
      </c>
      <c r="L4" s="1">
        <v>12.0</v>
      </c>
      <c r="M4" s="4">
        <f t="shared" si="1"/>
        <v>13.03840481</v>
      </c>
      <c r="N4" s="4">
        <f t="shared" si="2"/>
        <v>12.18430786</v>
      </c>
      <c r="O4" s="4">
        <f t="shared" si="3"/>
        <v>0.8540969541</v>
      </c>
      <c r="P4" s="4">
        <f t="shared" si="4"/>
        <v>0.7294816069</v>
      </c>
      <c r="Q4" s="5">
        <f t="shared" si="5"/>
        <v>8.796736694</v>
      </c>
      <c r="R4" s="5">
        <f t="shared" si="6"/>
        <v>142.090034</v>
      </c>
      <c r="S4" s="5">
        <f t="shared" si="7"/>
        <v>-133.2932973</v>
      </c>
      <c r="T4" s="5">
        <f t="shared" si="8"/>
        <v>93.41498516</v>
      </c>
    </row>
    <row r="5">
      <c r="A5" s="1">
        <v>-11.0101472786214</v>
      </c>
      <c r="B5" s="1">
        <v>-16.5428103112077</v>
      </c>
      <c r="C5" s="1">
        <v>1.00000014958354</v>
      </c>
      <c r="D5" s="1">
        <v>18.4999842643738</v>
      </c>
      <c r="E5" s="1">
        <v>2.0</v>
      </c>
      <c r="F5" s="1">
        <v>1.0</v>
      </c>
      <c r="G5" s="1">
        <v>0.0</v>
      </c>
      <c r="H5" s="1">
        <v>0.0</v>
      </c>
      <c r="I5" s="1">
        <v>6.0</v>
      </c>
      <c r="J5" s="1">
        <v>17.0</v>
      </c>
      <c r="K5" s="1">
        <v>0.0</v>
      </c>
      <c r="L5" s="1">
        <v>22.0</v>
      </c>
      <c r="M5" s="4">
        <f t="shared" si="1"/>
        <v>18.02775638</v>
      </c>
      <c r="N5" s="4">
        <f t="shared" si="2"/>
        <v>17.88460824</v>
      </c>
      <c r="O5" s="4">
        <f t="shared" si="3"/>
        <v>0.1431481336</v>
      </c>
      <c r="P5" s="4">
        <f t="shared" si="4"/>
        <v>0.02049138814</v>
      </c>
      <c r="Q5" s="5">
        <f t="shared" si="5"/>
        <v>38.87795423</v>
      </c>
      <c r="R5" s="5">
        <f t="shared" si="6"/>
        <v>112.7129159</v>
      </c>
      <c r="S5" s="5">
        <f t="shared" si="7"/>
        <v>-73.83496167</v>
      </c>
      <c r="T5" s="5">
        <f t="shared" si="8"/>
        <v>64.03786705</v>
      </c>
    </row>
    <row r="6">
      <c r="A6" s="1">
        <v>-12.5282009470346</v>
      </c>
      <c r="B6" s="1">
        <v>-19.8846907835041</v>
      </c>
      <c r="C6" s="1">
        <v>1.05463520566864</v>
      </c>
      <c r="D6" s="1">
        <v>14.4999842643738</v>
      </c>
      <c r="E6" s="1">
        <v>2.0</v>
      </c>
      <c r="F6" s="1">
        <v>0.880903079924496</v>
      </c>
      <c r="G6" s="1">
        <v>1.0</v>
      </c>
      <c r="H6" s="1">
        <v>0.880903079924496</v>
      </c>
      <c r="I6" s="1">
        <v>7.0</v>
      </c>
      <c r="J6" s="1">
        <v>21.0</v>
      </c>
      <c r="K6" s="1">
        <v>-3.0</v>
      </c>
      <c r="L6" s="1">
        <v>17.0</v>
      </c>
      <c r="M6" s="4">
        <f t="shared" si="1"/>
        <v>22.13594362</v>
      </c>
      <c r="N6" s="4">
        <f t="shared" si="2"/>
        <v>21.15204398</v>
      </c>
      <c r="O6" s="4">
        <f t="shared" si="3"/>
        <v>0.9838996376</v>
      </c>
      <c r="P6" s="4">
        <f t="shared" si="4"/>
        <v>0.9680584968</v>
      </c>
      <c r="Q6" s="5">
        <f t="shared" si="5"/>
        <v>36.86826069</v>
      </c>
      <c r="R6" s="5">
        <f t="shared" si="6"/>
        <v>115.5787809</v>
      </c>
      <c r="S6" s="5">
        <f t="shared" si="7"/>
        <v>-78.71052019</v>
      </c>
      <c r="T6" s="5">
        <f t="shared" si="8"/>
        <v>66.90373203</v>
      </c>
    </row>
    <row r="7">
      <c r="A7" s="1">
        <v>-18.9668052489436</v>
      </c>
      <c r="B7" s="1">
        <v>-23.8843766643575</v>
      </c>
      <c r="C7" s="1">
        <v>1.11225430913614</v>
      </c>
      <c r="D7" s="1">
        <v>23.4999842643738</v>
      </c>
      <c r="E7" s="1">
        <v>3.0</v>
      </c>
      <c r="F7" s="1">
        <v>1.0</v>
      </c>
      <c r="G7" s="1">
        <v>0.0</v>
      </c>
      <c r="H7" s="1">
        <v>0.0</v>
      </c>
      <c r="I7" s="1">
        <v>12.0</v>
      </c>
      <c r="J7" s="1">
        <v>25.0</v>
      </c>
      <c r="K7" s="1">
        <v>-5.0</v>
      </c>
      <c r="L7" s="1">
        <v>27.0</v>
      </c>
      <c r="M7" s="4">
        <f t="shared" si="1"/>
        <v>27.73084925</v>
      </c>
      <c r="N7" s="4">
        <f t="shared" si="2"/>
        <v>27.44930876</v>
      </c>
      <c r="O7" s="4">
        <f t="shared" si="3"/>
        <v>0.281540486</v>
      </c>
      <c r="P7" s="4">
        <f t="shared" si="4"/>
        <v>0.07926504525</v>
      </c>
      <c r="Q7" s="5">
        <f t="shared" si="5"/>
        <v>51.28022354</v>
      </c>
      <c r="R7" s="5">
        <f t="shared" si="6"/>
        <v>103.0961117</v>
      </c>
      <c r="S7" s="5">
        <f t="shared" si="7"/>
        <v>-51.81588812</v>
      </c>
      <c r="T7" s="5">
        <f t="shared" si="8"/>
        <v>54.4210628</v>
      </c>
    </row>
    <row r="8">
      <c r="A8" s="1">
        <v>-21.1624045394517</v>
      </c>
      <c r="B8" s="1">
        <v>-28.6993279586462</v>
      </c>
      <c r="C8" s="1">
        <v>1.04764521165416</v>
      </c>
      <c r="D8" s="1">
        <v>24.5261225700378</v>
      </c>
      <c r="E8" s="1">
        <v>4.0</v>
      </c>
      <c r="F8" s="1">
        <v>1.0</v>
      </c>
      <c r="G8" s="1">
        <v>1.0</v>
      </c>
      <c r="H8" s="1">
        <v>0.836661552400756</v>
      </c>
      <c r="I8" s="1">
        <v>13.0</v>
      </c>
      <c r="J8" s="1">
        <v>29.0</v>
      </c>
      <c r="K8" s="1">
        <v>-2.0</v>
      </c>
      <c r="L8" s="1">
        <v>29.0</v>
      </c>
      <c r="M8" s="4">
        <f t="shared" si="1"/>
        <v>31.78049716</v>
      </c>
      <c r="N8" s="4">
        <f t="shared" si="2"/>
        <v>32.09227354</v>
      </c>
      <c r="O8" s="4">
        <f t="shared" si="3"/>
        <v>-0.311776374</v>
      </c>
      <c r="P8" s="4">
        <f t="shared" si="4"/>
        <v>0.09720450739</v>
      </c>
      <c r="Q8" s="5">
        <f t="shared" si="5"/>
        <v>48.28960902</v>
      </c>
      <c r="R8" s="5">
        <f t="shared" si="6"/>
        <v>107.1937012</v>
      </c>
      <c r="S8" s="5">
        <f t="shared" si="7"/>
        <v>-58.90409213</v>
      </c>
      <c r="T8" s="5">
        <f t="shared" si="8"/>
        <v>58.5186523</v>
      </c>
    </row>
    <row r="9">
      <c r="A9" s="1">
        <v>-21.7458581810281</v>
      </c>
      <c r="B9" s="1">
        <v>-32.1570349871754</v>
      </c>
      <c r="C9" s="1">
        <v>1.02755394828081</v>
      </c>
      <c r="D9" s="1">
        <v>2.26319074630737</v>
      </c>
      <c r="E9" s="1">
        <v>4.0</v>
      </c>
      <c r="F9" s="1">
        <v>0.88734936580698</v>
      </c>
      <c r="G9" s="1">
        <v>2.0</v>
      </c>
      <c r="H9" s="1">
        <v>0.807728385107628</v>
      </c>
      <c r="I9" s="1">
        <v>14.0</v>
      </c>
      <c r="J9" s="1">
        <v>33.0</v>
      </c>
      <c r="K9" s="1">
        <v>-1.0</v>
      </c>
      <c r="L9" s="1">
        <v>3.0</v>
      </c>
      <c r="M9" s="4">
        <f t="shared" si="1"/>
        <v>35.84689666</v>
      </c>
      <c r="N9" s="4">
        <f t="shared" si="2"/>
        <v>34.93759251</v>
      </c>
      <c r="O9" s="4">
        <f t="shared" si="3"/>
        <v>0.9093041502</v>
      </c>
      <c r="P9" s="4">
        <f t="shared" si="4"/>
        <v>0.8268340377</v>
      </c>
      <c r="Q9" s="5">
        <f t="shared" si="5"/>
        <v>45.97618517</v>
      </c>
      <c r="R9" s="5">
        <f t="shared" si="6"/>
        <v>111.8662217</v>
      </c>
      <c r="S9" s="5">
        <f t="shared" si="7"/>
        <v>-65.8900365</v>
      </c>
      <c r="T9" s="5">
        <f t="shared" si="8"/>
        <v>63.19117281</v>
      </c>
    </row>
    <row r="10">
      <c r="A10" s="1">
        <v>-29.0318306456741</v>
      </c>
      <c r="B10" s="1">
        <v>-36.0276967551313</v>
      </c>
      <c r="C10" s="1">
        <v>1.01338752315771</v>
      </c>
      <c r="D10" s="1">
        <v>23.5261073112488</v>
      </c>
      <c r="E10" s="1">
        <v>5.0</v>
      </c>
      <c r="F10" s="1">
        <v>1.0</v>
      </c>
      <c r="G10" s="1">
        <v>0.0</v>
      </c>
      <c r="H10" s="1">
        <v>0.0</v>
      </c>
      <c r="I10" s="1">
        <v>19.0</v>
      </c>
      <c r="J10" s="1">
        <v>37.0</v>
      </c>
      <c r="K10" s="1">
        <v>0.0</v>
      </c>
      <c r="L10" s="1">
        <v>28.0</v>
      </c>
      <c r="M10" s="4">
        <f t="shared" si="1"/>
        <v>41.59326869</v>
      </c>
      <c r="N10" s="4">
        <f t="shared" si="2"/>
        <v>41.64231166</v>
      </c>
      <c r="O10" s="4">
        <f t="shared" si="3"/>
        <v>-0.0490429756</v>
      </c>
      <c r="P10" s="4">
        <f t="shared" si="4"/>
        <v>0.002405213456</v>
      </c>
      <c r="Q10" s="5">
        <f t="shared" si="5"/>
        <v>54.36096368</v>
      </c>
      <c r="R10" s="5">
        <f t="shared" si="6"/>
        <v>102.2768199</v>
      </c>
      <c r="S10" s="5">
        <f t="shared" si="7"/>
        <v>-47.91585626</v>
      </c>
      <c r="T10" s="5">
        <f t="shared" si="8"/>
        <v>53.60177109</v>
      </c>
    </row>
    <row r="11">
      <c r="A11" s="1">
        <v>-33.6833771488174</v>
      </c>
      <c r="B11" s="1">
        <v>-38.3218297367172</v>
      </c>
      <c r="C11" s="1">
        <v>1.07588368072702</v>
      </c>
      <c r="D11" s="1">
        <v>4.52610731124878</v>
      </c>
      <c r="E11" s="1">
        <v>6.0</v>
      </c>
      <c r="F11" s="1">
        <v>1.0</v>
      </c>
      <c r="G11" s="1">
        <v>1.0</v>
      </c>
      <c r="H11" s="1">
        <v>0.83450323630455</v>
      </c>
      <c r="I11" s="1">
        <v>24.0</v>
      </c>
      <c r="J11" s="1">
        <v>41.0</v>
      </c>
      <c r="K11" s="1">
        <v>-3.0</v>
      </c>
      <c r="L11" s="1">
        <v>5.0</v>
      </c>
      <c r="M11" s="4">
        <f t="shared" si="1"/>
        <v>47.50789408</v>
      </c>
      <c r="N11" s="4">
        <f t="shared" si="2"/>
        <v>45.91881259</v>
      </c>
      <c r="O11" s="4">
        <f t="shared" si="3"/>
        <v>1.58908149</v>
      </c>
      <c r="P11" s="4">
        <f t="shared" si="4"/>
        <v>2.525179983</v>
      </c>
      <c r="Q11" s="5">
        <f t="shared" si="5"/>
        <v>60.68527927</v>
      </c>
      <c r="R11" s="5">
        <f t="shared" si="6"/>
        <v>97.37329428</v>
      </c>
      <c r="S11" s="5">
        <f t="shared" si="7"/>
        <v>-36.68801501</v>
      </c>
      <c r="T11" s="5">
        <f t="shared" si="8"/>
        <v>48.69824542</v>
      </c>
    </row>
    <row r="12">
      <c r="A12" s="1">
        <v>-36.4500817512529</v>
      </c>
      <c r="B12" s="1">
        <v>-42.3868943086803</v>
      </c>
      <c r="C12" s="1">
        <v>1.02014827532975</v>
      </c>
      <c r="D12" s="1">
        <v>22.0261073112488</v>
      </c>
      <c r="E12" s="1">
        <v>7.0</v>
      </c>
      <c r="F12" s="1">
        <v>1.0</v>
      </c>
      <c r="G12" s="1">
        <v>1.0</v>
      </c>
      <c r="H12" s="1">
        <v>0.843601119464241</v>
      </c>
      <c r="I12" s="1">
        <v>25.0</v>
      </c>
      <c r="J12" s="1">
        <v>45.0</v>
      </c>
      <c r="K12" s="1">
        <v>0.0</v>
      </c>
      <c r="L12" s="1">
        <v>26.0</v>
      </c>
      <c r="M12" s="4">
        <f t="shared" si="1"/>
        <v>51.4781507</v>
      </c>
      <c r="N12" s="4">
        <f t="shared" si="2"/>
        <v>50.31360043</v>
      </c>
      <c r="O12" s="4">
        <f t="shared" si="3"/>
        <v>1.16455028</v>
      </c>
      <c r="P12" s="4">
        <f t="shared" si="4"/>
        <v>1.356177354</v>
      </c>
      <c r="Q12" s="5">
        <f t="shared" si="5"/>
        <v>58.10812716</v>
      </c>
      <c r="R12" s="5">
        <f t="shared" si="6"/>
        <v>98.61460642</v>
      </c>
      <c r="S12" s="5">
        <f t="shared" si="7"/>
        <v>-40.50647926</v>
      </c>
      <c r="T12" s="5">
        <f t="shared" si="8"/>
        <v>49.93955756</v>
      </c>
    </row>
    <row r="13">
      <c r="A13" s="1">
        <v>-37.0211620380962</v>
      </c>
      <c r="B13" s="1">
        <v>-44.874029462636</v>
      </c>
      <c r="C13" s="1">
        <v>1.07588365975638</v>
      </c>
      <c r="D13" s="1">
        <v>8.52610683441162</v>
      </c>
      <c r="E13" s="1">
        <v>7.0</v>
      </c>
      <c r="F13" s="1">
        <v>0.918835302651654</v>
      </c>
      <c r="G13" s="1">
        <v>2.0</v>
      </c>
      <c r="H13" s="1">
        <v>0.845505469717116</v>
      </c>
      <c r="I13" s="1">
        <v>26.0</v>
      </c>
      <c r="J13" s="1">
        <v>49.0</v>
      </c>
      <c r="K13" s="1">
        <v>-3.0</v>
      </c>
      <c r="L13" s="1">
        <v>9.0</v>
      </c>
      <c r="M13" s="4">
        <f t="shared" si="1"/>
        <v>55.47071299</v>
      </c>
      <c r="N13" s="4">
        <f t="shared" si="2"/>
        <v>52.35683734</v>
      </c>
      <c r="O13" s="4">
        <f t="shared" si="3"/>
        <v>3.113875649</v>
      </c>
      <c r="P13" s="4">
        <f t="shared" si="4"/>
        <v>9.696221559</v>
      </c>
      <c r="Q13" s="5">
        <f t="shared" si="5"/>
        <v>55.9009698</v>
      </c>
      <c r="R13" s="5">
        <f t="shared" si="6"/>
        <v>100.9561236</v>
      </c>
      <c r="S13" s="5">
        <f t="shared" si="7"/>
        <v>-45.05515382</v>
      </c>
      <c r="T13" s="5">
        <f t="shared" si="8"/>
        <v>52.28107476</v>
      </c>
    </row>
    <row r="14">
      <c r="A14" s="1">
        <v>-39.370533359738</v>
      </c>
      <c r="B14" s="1">
        <v>-49.05378979899</v>
      </c>
      <c r="C14" s="1">
        <v>1.03392475136417</v>
      </c>
      <c r="D14" s="1">
        <v>17.0261073112488</v>
      </c>
      <c r="E14" s="1">
        <v>8.0</v>
      </c>
      <c r="F14" s="1">
        <v>1.0</v>
      </c>
      <c r="G14" s="1">
        <v>1.0</v>
      </c>
      <c r="H14" s="1">
        <v>0.763770229480506</v>
      </c>
      <c r="I14" s="1">
        <v>27.0</v>
      </c>
      <c r="J14" s="1">
        <v>53.0</v>
      </c>
      <c r="K14" s="1">
        <v>-1.0</v>
      </c>
      <c r="L14" s="1">
        <v>21.0</v>
      </c>
      <c r="M14" s="4">
        <f t="shared" si="1"/>
        <v>59.48108943</v>
      </c>
      <c r="N14" s="4">
        <f t="shared" si="2"/>
        <v>56.6093074</v>
      </c>
      <c r="O14" s="4">
        <f t="shared" si="3"/>
        <v>2.871782031</v>
      </c>
      <c r="P14" s="4">
        <f t="shared" si="4"/>
        <v>8.247132031</v>
      </c>
      <c r="Q14" s="5">
        <f t="shared" si="5"/>
        <v>53.9908023</v>
      </c>
      <c r="R14" s="5">
        <f t="shared" si="6"/>
        <v>102.5004195</v>
      </c>
      <c r="S14" s="5">
        <f t="shared" si="7"/>
        <v>-48.5096172</v>
      </c>
      <c r="T14" s="5">
        <f t="shared" si="8"/>
        <v>53.82537064</v>
      </c>
    </row>
    <row r="15">
      <c r="A15" s="1">
        <v>-40.4095296186595</v>
      </c>
      <c r="B15" s="1">
        <v>-51.6478850165457</v>
      </c>
      <c r="C15" s="1">
        <v>1.06890124140494</v>
      </c>
      <c r="D15" s="1">
        <v>14.5261073112488</v>
      </c>
      <c r="E15" s="1">
        <v>8.0</v>
      </c>
      <c r="F15" s="1">
        <v>0.91140713303885</v>
      </c>
      <c r="G15" s="1">
        <v>1.0</v>
      </c>
      <c r="H15" s="1">
        <v>0.91140713303885</v>
      </c>
      <c r="I15" s="1">
        <v>28.0</v>
      </c>
      <c r="J15" s="1">
        <v>55.0</v>
      </c>
      <c r="K15" s="1">
        <v>-3.0</v>
      </c>
      <c r="L15" s="1">
        <v>15.0</v>
      </c>
      <c r="M15" s="4">
        <f t="shared" si="1"/>
        <v>61.7170965</v>
      </c>
      <c r="N15" s="4">
        <f t="shared" si="2"/>
        <v>59.0199257</v>
      </c>
      <c r="O15" s="4">
        <f t="shared" si="3"/>
        <v>2.697170797</v>
      </c>
      <c r="P15" s="4">
        <f t="shared" si="4"/>
        <v>7.274730306</v>
      </c>
      <c r="Q15" s="5">
        <f t="shared" si="5"/>
        <v>53.95961908</v>
      </c>
      <c r="R15" s="5">
        <f t="shared" si="6"/>
        <v>103.921815</v>
      </c>
      <c r="S15" s="5">
        <f t="shared" si="7"/>
        <v>-49.96219588</v>
      </c>
      <c r="T15" s="5">
        <f t="shared" si="8"/>
        <v>55.2467661</v>
      </c>
    </row>
    <row r="16">
      <c r="A16" s="1">
        <v>-45.8225167853333</v>
      </c>
      <c r="B16" s="1">
        <v>-54.8227814696826</v>
      </c>
      <c r="C16" s="1">
        <v>1.09768745092329</v>
      </c>
      <c r="D16" s="1">
        <v>11.0261068344116</v>
      </c>
      <c r="E16" s="1">
        <v>9.0</v>
      </c>
      <c r="F16" s="1">
        <v>1.0</v>
      </c>
      <c r="G16" s="1">
        <v>1.0</v>
      </c>
      <c r="H16" s="1">
        <v>0.729312268713467</v>
      </c>
      <c r="I16" s="1">
        <v>33.0</v>
      </c>
      <c r="J16" s="1">
        <v>59.0</v>
      </c>
      <c r="K16" s="1">
        <v>-4.0</v>
      </c>
      <c r="L16" s="1">
        <v>11.0</v>
      </c>
      <c r="M16" s="4">
        <f t="shared" si="1"/>
        <v>67.60177512</v>
      </c>
      <c r="N16" s="4">
        <f t="shared" si="2"/>
        <v>64.30586858</v>
      </c>
      <c r="O16" s="4">
        <f t="shared" si="3"/>
        <v>3.295906542</v>
      </c>
      <c r="P16" s="4">
        <f t="shared" si="4"/>
        <v>10.86299993</v>
      </c>
      <c r="Q16" s="5">
        <f t="shared" si="5"/>
        <v>58.43766593</v>
      </c>
      <c r="R16" s="5">
        <f t="shared" si="6"/>
        <v>100.2214621</v>
      </c>
      <c r="S16" s="5">
        <f t="shared" si="7"/>
        <v>-41.78379619</v>
      </c>
      <c r="T16" s="5">
        <f t="shared" si="8"/>
        <v>51.54641326</v>
      </c>
    </row>
    <row r="17">
      <c r="A17" s="1">
        <v>-47.8545768011308</v>
      </c>
      <c r="B17" s="1">
        <v>-59.2793448926826</v>
      </c>
      <c r="C17" s="1">
        <v>1.10501059446552</v>
      </c>
      <c r="D17" s="1">
        <v>14.5261070728302</v>
      </c>
      <c r="E17" s="1">
        <v>9.0</v>
      </c>
      <c r="F17" s="1">
        <v>0.851758111421674</v>
      </c>
      <c r="G17" s="1">
        <v>1.0</v>
      </c>
      <c r="H17" s="1">
        <v>0.851758111421674</v>
      </c>
      <c r="I17" s="1">
        <v>34.0</v>
      </c>
      <c r="J17" s="1">
        <v>63.0</v>
      </c>
      <c r="K17" s="1">
        <v>-4.0</v>
      </c>
      <c r="L17" s="1">
        <v>15.0</v>
      </c>
      <c r="M17" s="4">
        <f t="shared" si="1"/>
        <v>71.58910532</v>
      </c>
      <c r="N17" s="4">
        <f t="shared" si="2"/>
        <v>68.5661871</v>
      </c>
      <c r="O17" s="4">
        <f t="shared" si="3"/>
        <v>3.022918213</v>
      </c>
      <c r="P17" s="4">
        <f t="shared" si="4"/>
        <v>9.138034523</v>
      </c>
      <c r="Q17" s="5">
        <f t="shared" si="5"/>
        <v>56.70916336</v>
      </c>
      <c r="R17" s="5">
        <f t="shared" si="6"/>
        <v>102.1752123</v>
      </c>
      <c r="S17" s="5">
        <f t="shared" si="7"/>
        <v>-45.46604898</v>
      </c>
      <c r="T17" s="5">
        <f t="shared" si="8"/>
        <v>53.50016349</v>
      </c>
    </row>
    <row r="18">
      <c r="A18" s="1">
        <v>-49.2007907263813</v>
      </c>
      <c r="B18" s="1">
        <v>-62.7901469171143</v>
      </c>
      <c r="C18" s="1">
        <v>1.15722652886626</v>
      </c>
      <c r="D18" s="1">
        <v>11.0259847640991</v>
      </c>
      <c r="E18" s="1">
        <v>10.0</v>
      </c>
      <c r="F18" s="1">
        <v>1.0</v>
      </c>
      <c r="G18" s="1">
        <v>1.0</v>
      </c>
      <c r="H18" s="1">
        <v>0.74414409032589</v>
      </c>
      <c r="I18" s="1">
        <v>35.0</v>
      </c>
      <c r="J18" s="1">
        <v>67.0</v>
      </c>
      <c r="K18" s="1">
        <v>-6.0</v>
      </c>
      <c r="L18" s="1">
        <v>11.0</v>
      </c>
      <c r="M18" s="4">
        <f t="shared" si="1"/>
        <v>75.59100476</v>
      </c>
      <c r="N18" s="4">
        <f t="shared" si="2"/>
        <v>71.79338054</v>
      </c>
      <c r="O18" s="4">
        <f t="shared" si="3"/>
        <v>3.797624212</v>
      </c>
      <c r="P18" s="4">
        <f t="shared" si="4"/>
        <v>14.42194965</v>
      </c>
      <c r="Q18" s="5">
        <f t="shared" si="5"/>
        <v>55.16335652</v>
      </c>
      <c r="R18" s="5">
        <f t="shared" si="6"/>
        <v>103.8384054</v>
      </c>
      <c r="S18" s="5">
        <f t="shared" si="7"/>
        <v>-48.67504886</v>
      </c>
      <c r="T18" s="5">
        <f t="shared" si="8"/>
        <v>55.16335652</v>
      </c>
    </row>
    <row r="19">
      <c r="A19" s="1">
        <v>-50.3803779798933</v>
      </c>
      <c r="B19" s="1">
        <v>-63.8387342068762</v>
      </c>
      <c r="C19" s="1">
        <v>1.15361055990275</v>
      </c>
      <c r="D19" s="1">
        <v>14.5260382890701</v>
      </c>
      <c r="E19" s="1">
        <v>10.0</v>
      </c>
      <c r="F19" s="1">
        <v>0.954467351792854</v>
      </c>
      <c r="G19" s="1">
        <v>2.0</v>
      </c>
      <c r="H19" s="1">
        <v>0.827652571205615</v>
      </c>
      <c r="I19" s="1">
        <v>36.0</v>
      </c>
      <c r="J19" s="1">
        <v>69.0</v>
      </c>
      <c r="K19" s="1">
        <v>-6.0</v>
      </c>
      <c r="L19" s="1">
        <v>15.0</v>
      </c>
      <c r="M19" s="4">
        <f t="shared" si="1"/>
        <v>77.82673063</v>
      </c>
      <c r="N19" s="4">
        <f t="shared" si="2"/>
        <v>73.19145333</v>
      </c>
      <c r="O19" s="4">
        <f t="shared" si="3"/>
        <v>4.635277293</v>
      </c>
      <c r="P19" s="4">
        <f t="shared" si="4"/>
        <v>21.48579558</v>
      </c>
      <c r="Q19" s="5">
        <f t="shared" si="5"/>
        <v>55.10494208</v>
      </c>
      <c r="R19" s="5">
        <f t="shared" si="6"/>
        <v>103.4413757</v>
      </c>
      <c r="S19" s="5">
        <f t="shared" si="7"/>
        <v>-48.33643364</v>
      </c>
      <c r="T19" s="5">
        <f t="shared" si="8"/>
        <v>54.76632686</v>
      </c>
    </row>
    <row r="20">
      <c r="A20" s="1">
        <v>-55.8196256470539</v>
      </c>
      <c r="B20" s="1">
        <v>-64.6850950607505</v>
      </c>
      <c r="C20" s="1">
        <v>1.04737474711307</v>
      </c>
      <c r="D20" s="1">
        <v>17.5259852409363</v>
      </c>
      <c r="E20" s="1">
        <v>11.0</v>
      </c>
      <c r="F20" s="1">
        <v>1.0</v>
      </c>
      <c r="G20" s="1">
        <v>1.0</v>
      </c>
      <c r="H20" s="1">
        <v>0.791806598785092</v>
      </c>
      <c r="I20" s="1">
        <v>41.0</v>
      </c>
      <c r="J20" s="1">
        <v>71.0</v>
      </c>
      <c r="K20" s="1">
        <v>-1.0</v>
      </c>
      <c r="L20" s="1">
        <v>19.0</v>
      </c>
      <c r="M20" s="4">
        <f t="shared" si="1"/>
        <v>81.98780397</v>
      </c>
      <c r="N20" s="4">
        <f t="shared" si="2"/>
        <v>76.89599226</v>
      </c>
      <c r="O20" s="4">
        <f t="shared" si="3"/>
        <v>5.091811711</v>
      </c>
      <c r="P20" s="4">
        <f t="shared" si="4"/>
        <v>25.9265465</v>
      </c>
      <c r="Q20" s="5">
        <f t="shared" si="5"/>
        <v>60.00914281</v>
      </c>
      <c r="R20" s="5">
        <f t="shared" si="6"/>
        <v>98.41629597</v>
      </c>
      <c r="S20" s="5">
        <f t="shared" si="7"/>
        <v>-38.40715316</v>
      </c>
      <c r="T20" s="5">
        <f t="shared" si="8"/>
        <v>49.74124711</v>
      </c>
    </row>
    <row r="21">
      <c r="A21" s="1">
        <v>-57.8261815105396</v>
      </c>
      <c r="B21" s="1">
        <v>-68.6353858299905</v>
      </c>
      <c r="C21" s="1">
        <v>1.12685321683034</v>
      </c>
      <c r="D21" s="1">
        <v>17.5259852409363</v>
      </c>
      <c r="E21" s="1">
        <v>11.0</v>
      </c>
      <c r="F21" s="1">
        <v>0.864145015021591</v>
      </c>
      <c r="G21" s="1">
        <v>1.0</v>
      </c>
      <c r="H21" s="1">
        <v>0.864145015021591</v>
      </c>
      <c r="I21" s="1">
        <v>42.0</v>
      </c>
      <c r="J21" s="1">
        <v>75.0</v>
      </c>
      <c r="K21" s="1">
        <v>-5.0</v>
      </c>
      <c r="L21" s="1">
        <v>19.0</v>
      </c>
      <c r="M21" s="4">
        <f t="shared" si="1"/>
        <v>85.95929269</v>
      </c>
      <c r="N21" s="4">
        <f t="shared" si="2"/>
        <v>80.77309948</v>
      </c>
      <c r="O21" s="4">
        <f t="shared" si="3"/>
        <v>5.186193212</v>
      </c>
      <c r="P21" s="4">
        <f t="shared" si="4"/>
        <v>26.89660004</v>
      </c>
      <c r="Q21" s="5">
        <f t="shared" si="5"/>
        <v>58.49700133</v>
      </c>
      <c r="R21" s="5">
        <f t="shared" si="6"/>
        <v>99.77185239</v>
      </c>
      <c r="S21" s="5">
        <f t="shared" si="7"/>
        <v>-41.27485106</v>
      </c>
      <c r="T21" s="5">
        <f t="shared" si="8"/>
        <v>51.09680353</v>
      </c>
    </row>
    <row r="22">
      <c r="Q22" s="5"/>
      <c r="S22" s="5">
        <f> MEDIAN(S2:S18)</f>
        <v>-48.67504886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