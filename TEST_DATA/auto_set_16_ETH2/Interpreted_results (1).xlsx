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<sst xmlns="http://schemas.openxmlformats.org/spreadsheetml/2006/main" count="20" uniqueCount="20">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</sst>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1625693196"/>
        <c:axId val="527444704"/>
      </c:lineChart>
      <c:catAx>
        <c:axId val="1625693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444704"/>
      </c:catAx>
      <c:valAx>
        <c:axId val="527444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693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938843491"/>
        <c:axId val="1776588999"/>
      </c:lineChart>
      <c:catAx>
        <c:axId val="938843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588999"/>
      </c:catAx>
      <c:valAx>
        <c:axId val="1776588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843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62193"/>
        <c:axId val="486253362"/>
      </c:scatterChart>
      <c:valAx>
        <c:axId val="6845621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253362"/>
      </c:valAx>
      <c:valAx>
        <c:axId val="486253362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562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447223"/>
        <c:axId val="751587607"/>
      </c:scatterChart>
      <c:valAx>
        <c:axId val="18644472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87607"/>
      </c:valAx>
      <c:valAx>
        <c:axId val="751587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447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4.81249988079071</v>
      </c>
      <c r="B2" s="1">
        <v>-5.87499886751175</v>
      </c>
      <c r="C2" s="1">
        <v>1.06875348091126</v>
      </c>
      <c r="D2" s="1">
        <v>9.5</v>
      </c>
      <c r="E2" s="1">
        <v>1.0</v>
      </c>
      <c r="F2" s="1">
        <v>1.0</v>
      </c>
      <c r="G2" s="1">
        <v>1.0</v>
      </c>
      <c r="H2" s="1">
        <v>0.755264659289065</v>
      </c>
      <c r="I2" s="1">
        <v>-7.0</v>
      </c>
      <c r="J2" s="1">
        <v>-2.0</v>
      </c>
      <c r="K2" s="1">
        <v>-4.0</v>
      </c>
      <c r="L2" s="1">
        <v>10.0</v>
      </c>
      <c r="M2" s="4">
        <f t="shared" ref="M2:M31" si="1">SQRT(I2*I2 + J2*J2)</f>
        <v>7.280109889</v>
      </c>
      <c r="N2" s="4">
        <f t="shared" ref="N2:N31" si="2">SQRT(A2*A2 + B2*B2) * 0.9</f>
        <v>6.835010688</v>
      </c>
      <c r="O2" s="4">
        <f t="shared" ref="O2:O31" si="3"> (M2 - N2)</f>
        <v>0.4450992013</v>
      </c>
      <c r="P2" s="4">
        <f t="shared" ref="P2:P31" si="4"> O2 * O2</f>
        <v>0.198113299</v>
      </c>
      <c r="Q2" s="5">
        <f t="shared" ref="Q2:Q31" si="5">MOD(ATAN(I2 / (J2 + 0.001)) / PI() * 360, 360)</f>
        <v>148.1243435</v>
      </c>
      <c r="R2" s="5">
        <f t="shared" ref="R2:R31" si="6">MOD(ATAN(B2 / (A2 + 0.001)) / PI() * 360, 360)</f>
        <v>258.6568477</v>
      </c>
      <c r="S2" s="5">
        <f t="shared" ref="S2:S31" si="7">Q2 - R2</f>
        <v>-110.5325042</v>
      </c>
      <c r="T2" s="5">
        <f t="shared" ref="T2:T31" si="8"> R2 + S$32</f>
        <v>270.5350892</v>
      </c>
    </row>
    <row r="3">
      <c r="A3" s="1">
        <v>5.53685839150935</v>
      </c>
      <c r="B3" s="1">
        <v>-10.9122307293801</v>
      </c>
      <c r="C3" s="1">
        <v>1.1196745936565</v>
      </c>
      <c r="D3" s="1">
        <v>11.5</v>
      </c>
      <c r="E3" s="1">
        <v>2.0</v>
      </c>
      <c r="F3" s="1">
        <v>1.0</v>
      </c>
      <c r="G3" s="1">
        <v>1.0</v>
      </c>
      <c r="H3" s="1">
        <v>0.844971005161257</v>
      </c>
      <c r="I3" s="1">
        <v>-11.0</v>
      </c>
      <c r="J3" s="1">
        <v>0.0</v>
      </c>
      <c r="K3" s="1">
        <v>-6.0</v>
      </c>
      <c r="L3" s="1">
        <v>13.0</v>
      </c>
      <c r="M3" s="4">
        <f t="shared" si="1"/>
        <v>11</v>
      </c>
      <c r="N3" s="4">
        <f t="shared" si="2"/>
        <v>11.01291061</v>
      </c>
      <c r="O3" s="4">
        <f t="shared" si="3"/>
        <v>-0.01291060867</v>
      </c>
      <c r="P3" s="4">
        <f t="shared" si="4"/>
        <v>0.0001666838161</v>
      </c>
      <c r="Q3" s="5">
        <f t="shared" si="5"/>
        <v>180.0104174</v>
      </c>
      <c r="R3" s="5">
        <f t="shared" si="6"/>
        <v>233.8147628</v>
      </c>
      <c r="S3" s="5">
        <f t="shared" si="7"/>
        <v>-53.80434541</v>
      </c>
      <c r="T3" s="5">
        <f t="shared" si="8"/>
        <v>245.6930043</v>
      </c>
    </row>
    <row r="4">
      <c r="A4" s="1">
        <v>6.2798690976151</v>
      </c>
      <c r="B4" s="1">
        <v>-17.0840992134191</v>
      </c>
      <c r="C4" s="1">
        <v>0.986780534063782</v>
      </c>
      <c r="D4" s="1">
        <v>22.0</v>
      </c>
      <c r="E4" s="1">
        <v>3.0</v>
      </c>
      <c r="F4" s="1">
        <v>1.0</v>
      </c>
      <c r="G4" s="1">
        <v>1.0</v>
      </c>
      <c r="H4" s="1">
        <v>0.803257716015631</v>
      </c>
      <c r="I4" s="1">
        <v>-16.0</v>
      </c>
      <c r="J4" s="1">
        <v>2.0</v>
      </c>
      <c r="K4" s="1">
        <v>0.0</v>
      </c>
      <c r="L4" s="1">
        <v>24.0</v>
      </c>
      <c r="M4" s="4">
        <f t="shared" si="1"/>
        <v>16.1245155</v>
      </c>
      <c r="N4" s="4">
        <f t="shared" si="2"/>
        <v>16.38156261</v>
      </c>
      <c r="O4" s="4">
        <f t="shared" si="3"/>
        <v>-0.2570471112</v>
      </c>
      <c r="P4" s="4">
        <f t="shared" si="4"/>
        <v>0.06607321736</v>
      </c>
      <c r="Q4" s="5">
        <f t="shared" si="5"/>
        <v>194.2570844</v>
      </c>
      <c r="R4" s="5">
        <f t="shared" si="6"/>
        <v>220.3713122</v>
      </c>
      <c r="S4" s="5">
        <f t="shared" si="7"/>
        <v>-26.11422774</v>
      </c>
      <c r="T4" s="5">
        <f t="shared" si="8"/>
        <v>232.2495536</v>
      </c>
    </row>
    <row r="5">
      <c r="A5" s="1">
        <v>6.0573398893691</v>
      </c>
      <c r="B5" s="1">
        <v>-24.141776216793</v>
      </c>
      <c r="C5" s="1">
        <v>1.07003404821496</v>
      </c>
      <c r="D5" s="1">
        <v>3.00006103515625</v>
      </c>
      <c r="E5" s="1">
        <v>4.0</v>
      </c>
      <c r="F5" s="1">
        <v>1.0</v>
      </c>
      <c r="G5" s="1">
        <v>1.0</v>
      </c>
      <c r="H5" s="1">
        <v>0.771128800298447</v>
      </c>
      <c r="I5" s="1">
        <v>-21.0</v>
      </c>
      <c r="J5" s="1">
        <v>7.0</v>
      </c>
      <c r="K5" s="1">
        <v>-4.0</v>
      </c>
      <c r="L5" s="1">
        <v>5.0</v>
      </c>
      <c r="M5" s="4">
        <f t="shared" si="1"/>
        <v>22.13594362</v>
      </c>
      <c r="N5" s="4">
        <f t="shared" si="2"/>
        <v>22.40108363</v>
      </c>
      <c r="O5" s="4">
        <f t="shared" si="3"/>
        <v>-0.2651400045</v>
      </c>
      <c r="P5" s="4">
        <f t="shared" si="4"/>
        <v>0.07029922198</v>
      </c>
      <c r="Q5" s="5">
        <f t="shared" si="5"/>
        <v>216.8748086</v>
      </c>
      <c r="R5" s="5">
        <f t="shared" si="6"/>
        <v>208.1747489</v>
      </c>
      <c r="S5" s="5">
        <f t="shared" si="7"/>
        <v>8.700059787</v>
      </c>
      <c r="T5" s="5">
        <f t="shared" si="8"/>
        <v>220.0529903</v>
      </c>
    </row>
    <row r="6">
      <c r="A6" s="1">
        <v>10.4035374571093</v>
      </c>
      <c r="B6" s="1">
        <v>-27.8327947074011</v>
      </c>
      <c r="C6" s="1">
        <v>1.09159326336234</v>
      </c>
      <c r="D6" s="1">
        <v>10.0000615119934</v>
      </c>
      <c r="E6" s="1">
        <v>5.0</v>
      </c>
      <c r="F6" s="1">
        <v>1.0</v>
      </c>
      <c r="G6" s="1">
        <v>1.0</v>
      </c>
      <c r="H6" s="1">
        <v>0.824144164889583</v>
      </c>
      <c r="I6" s="1">
        <v>-26.0</v>
      </c>
      <c r="J6" s="1">
        <v>5.0</v>
      </c>
      <c r="K6" s="1">
        <v>-5.0</v>
      </c>
      <c r="L6" s="1">
        <v>13.0</v>
      </c>
      <c r="M6" s="4">
        <f t="shared" si="1"/>
        <v>26.47640459</v>
      </c>
      <c r="N6" s="4">
        <f t="shared" si="2"/>
        <v>26.74224042</v>
      </c>
      <c r="O6" s="4">
        <f t="shared" si="3"/>
        <v>-0.2658358326</v>
      </c>
      <c r="P6" s="4">
        <f t="shared" si="4"/>
        <v>0.07066868988</v>
      </c>
      <c r="Q6" s="5">
        <f t="shared" si="5"/>
        <v>201.7753043</v>
      </c>
      <c r="R6" s="5">
        <f t="shared" si="6"/>
        <v>220.9937939</v>
      </c>
      <c r="S6" s="5">
        <f t="shared" si="7"/>
        <v>-19.2184896</v>
      </c>
      <c r="T6" s="5">
        <f t="shared" si="8"/>
        <v>232.8720353</v>
      </c>
    </row>
    <row r="7">
      <c r="A7" s="1">
        <v>8.42566958915386</v>
      </c>
      <c r="B7" s="1">
        <v>-35.7396227542985</v>
      </c>
      <c r="C7" s="1">
        <v>0.981762970736524</v>
      </c>
      <c r="D7" s="1">
        <v>16.4990081787109</v>
      </c>
      <c r="E7" s="1">
        <v>6.0</v>
      </c>
      <c r="F7" s="1">
        <v>1.0</v>
      </c>
      <c r="G7" s="1">
        <v>1.0</v>
      </c>
      <c r="H7" s="1">
        <v>0.737930437198311</v>
      </c>
      <c r="I7" s="1">
        <v>-31.0</v>
      </c>
      <c r="J7" s="1">
        <v>10.0</v>
      </c>
      <c r="K7" s="1">
        <v>0.0</v>
      </c>
      <c r="L7" s="1">
        <v>20.0</v>
      </c>
      <c r="M7" s="4">
        <f t="shared" si="1"/>
        <v>32.57299495</v>
      </c>
      <c r="N7" s="4">
        <f t="shared" si="2"/>
        <v>33.04743802</v>
      </c>
      <c r="O7" s="4">
        <f t="shared" si="3"/>
        <v>-0.474443068</v>
      </c>
      <c r="P7" s="4">
        <f t="shared" si="4"/>
        <v>0.2250962248</v>
      </c>
      <c r="Q7" s="5">
        <f t="shared" si="5"/>
        <v>215.7607413</v>
      </c>
      <c r="R7" s="5">
        <f t="shared" si="6"/>
        <v>206.5337346</v>
      </c>
      <c r="S7" s="5">
        <f t="shared" si="7"/>
        <v>9.22700664</v>
      </c>
      <c r="T7" s="5">
        <f t="shared" si="8"/>
        <v>218.4119761</v>
      </c>
    </row>
    <row r="8">
      <c r="A8" s="1">
        <v>13.364906782435</v>
      </c>
      <c r="B8" s="1">
        <v>-39.1898635695262</v>
      </c>
      <c r="C8" s="1">
        <v>1.06330939913014</v>
      </c>
      <c r="D8" s="1">
        <v>24.4990081787109</v>
      </c>
      <c r="E8" s="1">
        <v>7.0</v>
      </c>
      <c r="F8" s="1">
        <v>1.0</v>
      </c>
      <c r="G8" s="1">
        <v>1.0</v>
      </c>
      <c r="H8" s="1">
        <v>0.803594012788251</v>
      </c>
      <c r="I8" s="1">
        <v>-35.0</v>
      </c>
      <c r="J8" s="1">
        <v>8.0</v>
      </c>
      <c r="K8" s="1">
        <v>-4.0</v>
      </c>
      <c r="L8" s="1">
        <v>29.0</v>
      </c>
      <c r="M8" s="4">
        <f t="shared" si="1"/>
        <v>35.90264614</v>
      </c>
      <c r="N8" s="4">
        <f t="shared" si="2"/>
        <v>37.26550111</v>
      </c>
      <c r="O8" s="4">
        <f t="shared" si="3"/>
        <v>-1.362854973</v>
      </c>
      <c r="P8" s="4">
        <f t="shared" si="4"/>
        <v>1.857373676</v>
      </c>
      <c r="Q8" s="5">
        <f t="shared" si="5"/>
        <v>205.7531146</v>
      </c>
      <c r="R8" s="5">
        <f t="shared" si="6"/>
        <v>217.6644191</v>
      </c>
      <c r="S8" s="5">
        <f t="shared" si="7"/>
        <v>-11.91130447</v>
      </c>
      <c r="T8" s="5">
        <f t="shared" si="8"/>
        <v>229.5426605</v>
      </c>
    </row>
    <row r="9">
      <c r="A9" s="1">
        <v>13.1523630363281</v>
      </c>
      <c r="B9" s="1">
        <v>-45.8107424779733</v>
      </c>
      <c r="C9" s="1">
        <v>1.02172291967069</v>
      </c>
      <c r="D9" s="1">
        <v>2.99900817871094</v>
      </c>
      <c r="E9" s="1">
        <v>8.0</v>
      </c>
      <c r="F9" s="1">
        <v>1.0</v>
      </c>
      <c r="G9" s="1">
        <v>1.0</v>
      </c>
      <c r="H9" s="1">
        <v>0.788195462980603</v>
      </c>
      <c r="I9" s="1">
        <v>-40.0</v>
      </c>
      <c r="J9" s="1">
        <v>13.0</v>
      </c>
      <c r="K9" s="1">
        <v>-2.0</v>
      </c>
      <c r="L9" s="1">
        <v>7.0</v>
      </c>
      <c r="M9" s="4">
        <f t="shared" si="1"/>
        <v>42.05948169</v>
      </c>
      <c r="N9" s="4">
        <f t="shared" si="2"/>
        <v>42.89525745</v>
      </c>
      <c r="O9" s="4">
        <f t="shared" si="3"/>
        <v>-0.8357757598</v>
      </c>
      <c r="P9" s="4">
        <f t="shared" si="4"/>
        <v>0.6985211207</v>
      </c>
      <c r="Q9" s="5">
        <f t="shared" si="5"/>
        <v>216.0109143</v>
      </c>
      <c r="R9" s="5">
        <f t="shared" si="6"/>
        <v>212.0400843</v>
      </c>
      <c r="S9" s="5">
        <f t="shared" si="7"/>
        <v>3.970829972</v>
      </c>
      <c r="T9" s="5">
        <f t="shared" si="8"/>
        <v>223.9183258</v>
      </c>
    </row>
    <row r="10">
      <c r="A10" s="1">
        <v>12.009505152896</v>
      </c>
      <c r="B10" s="1">
        <v>-52.0573797317456</v>
      </c>
      <c r="C10" s="1">
        <v>1.02172291967069</v>
      </c>
      <c r="D10" s="1">
        <v>2.99900817871094</v>
      </c>
      <c r="E10" s="1">
        <v>9.0</v>
      </c>
      <c r="F10" s="1">
        <v>1.0</v>
      </c>
      <c r="G10" s="1">
        <v>1.0</v>
      </c>
      <c r="H10" s="1">
        <v>0.79282305758514</v>
      </c>
      <c r="I10" s="1">
        <v>-44.0</v>
      </c>
      <c r="J10" s="1">
        <v>18.0</v>
      </c>
      <c r="K10" s="1">
        <v>-2.0</v>
      </c>
      <c r="L10" s="1">
        <v>7.0</v>
      </c>
      <c r="M10" s="4">
        <f t="shared" si="1"/>
        <v>47.5394573</v>
      </c>
      <c r="N10" s="4">
        <f t="shared" si="2"/>
        <v>48.08223361</v>
      </c>
      <c r="O10" s="4">
        <f t="shared" si="3"/>
        <v>-0.542776313</v>
      </c>
      <c r="P10" s="4">
        <f t="shared" si="4"/>
        <v>0.2946061259</v>
      </c>
      <c r="Q10" s="5">
        <f t="shared" si="5"/>
        <v>224.5002783</v>
      </c>
      <c r="R10" s="5">
        <f t="shared" si="6"/>
        <v>205.9835147</v>
      </c>
      <c r="S10" s="5">
        <f t="shared" si="7"/>
        <v>18.51676356</v>
      </c>
      <c r="T10" s="5">
        <f t="shared" si="8"/>
        <v>217.8617562</v>
      </c>
    </row>
    <row r="11">
      <c r="A11" s="1">
        <v>7.9856573620382</v>
      </c>
      <c r="B11" s="1">
        <v>-59.435023022704</v>
      </c>
      <c r="C11" s="1">
        <v>1.05626264134563</v>
      </c>
      <c r="D11" s="1">
        <v>23.4990081787109</v>
      </c>
      <c r="E11" s="1">
        <v>10.0</v>
      </c>
      <c r="F11" s="1">
        <v>1.0</v>
      </c>
      <c r="G11" s="1">
        <v>1.0</v>
      </c>
      <c r="H11" s="1">
        <v>0.73039182323983</v>
      </c>
      <c r="I11" s="1">
        <v>-48.0</v>
      </c>
      <c r="J11" s="1">
        <v>23.0</v>
      </c>
      <c r="K11" s="1">
        <v>-4.0</v>
      </c>
      <c r="L11" s="1">
        <v>28.0</v>
      </c>
      <c r="M11" s="4">
        <f t="shared" si="1"/>
        <v>53.22593353</v>
      </c>
      <c r="N11" s="4">
        <f t="shared" si="2"/>
        <v>53.97218798</v>
      </c>
      <c r="O11" s="4">
        <f t="shared" si="3"/>
        <v>-0.7462544483</v>
      </c>
      <c r="P11" s="4">
        <f t="shared" si="4"/>
        <v>0.5568957016</v>
      </c>
      <c r="Q11" s="5">
        <f t="shared" si="5"/>
        <v>231.2063166</v>
      </c>
      <c r="R11" s="5">
        <f t="shared" si="6"/>
        <v>195.3066961</v>
      </c>
      <c r="S11" s="5">
        <f t="shared" si="7"/>
        <v>35.89962053</v>
      </c>
      <c r="T11" s="5">
        <f t="shared" si="8"/>
        <v>207.1849376</v>
      </c>
    </row>
    <row r="12">
      <c r="A12" s="1">
        <v>14.3675739052584</v>
      </c>
      <c r="B12" s="1">
        <v>-61.4993594239556</v>
      </c>
      <c r="C12" s="1">
        <v>0.994906263313395</v>
      </c>
      <c r="D12" s="1">
        <v>357.999008178711</v>
      </c>
      <c r="E12" s="1">
        <v>11.0</v>
      </c>
      <c r="F12" s="1">
        <v>1.0</v>
      </c>
      <c r="G12" s="1">
        <v>1.0</v>
      </c>
      <c r="H12" s="1">
        <v>0.781994740372162</v>
      </c>
      <c r="I12" s="1">
        <v>-53.0</v>
      </c>
      <c r="J12" s="1">
        <v>21.0</v>
      </c>
      <c r="K12" s="1">
        <v>-1.0</v>
      </c>
      <c r="L12" s="1">
        <v>2.0</v>
      </c>
      <c r="M12" s="4">
        <f t="shared" si="1"/>
        <v>57.00877125</v>
      </c>
      <c r="N12" s="4">
        <f t="shared" si="2"/>
        <v>56.83981611</v>
      </c>
      <c r="O12" s="4">
        <f t="shared" si="3"/>
        <v>0.1689551444</v>
      </c>
      <c r="P12" s="4">
        <f t="shared" si="4"/>
        <v>0.02854584083</v>
      </c>
      <c r="Q12" s="5">
        <f t="shared" si="5"/>
        <v>223.2314266</v>
      </c>
      <c r="R12" s="5">
        <f t="shared" si="6"/>
        <v>206.3011282</v>
      </c>
      <c r="S12" s="5">
        <f t="shared" si="7"/>
        <v>16.93029835</v>
      </c>
      <c r="T12" s="5">
        <f t="shared" si="8"/>
        <v>218.1793697</v>
      </c>
    </row>
    <row r="13">
      <c r="A13" s="1">
        <v>14.2496617961575</v>
      </c>
      <c r="B13" s="1">
        <v>-68.4725131925541</v>
      </c>
      <c r="C13" s="1">
        <v>1.008225631448</v>
      </c>
      <c r="D13" s="1">
        <v>21.5303344726563</v>
      </c>
      <c r="E13" s="1">
        <v>12.0</v>
      </c>
      <c r="F13" s="1">
        <v>1.0</v>
      </c>
      <c r="G13" s="1">
        <v>1.0</v>
      </c>
      <c r="H13" s="1">
        <v>0.767891782219755</v>
      </c>
      <c r="I13" s="1">
        <v>-58.0</v>
      </c>
      <c r="J13" s="1">
        <v>23.0</v>
      </c>
      <c r="K13" s="1">
        <v>-2.0</v>
      </c>
      <c r="L13" s="1">
        <v>26.0</v>
      </c>
      <c r="M13" s="4">
        <f t="shared" si="1"/>
        <v>62.39390996</v>
      </c>
      <c r="N13" s="4">
        <f t="shared" si="2"/>
        <v>62.94557743</v>
      </c>
      <c r="O13" s="4">
        <f t="shared" si="3"/>
        <v>-0.5516674756</v>
      </c>
      <c r="P13" s="4">
        <f t="shared" si="4"/>
        <v>0.3043370037</v>
      </c>
      <c r="Q13" s="5">
        <f t="shared" si="5"/>
        <v>223.2634809</v>
      </c>
      <c r="R13" s="5">
        <f t="shared" si="6"/>
        <v>203.513408</v>
      </c>
      <c r="S13" s="5">
        <f t="shared" si="7"/>
        <v>19.75007293</v>
      </c>
      <c r="T13" s="5">
        <f t="shared" si="8"/>
        <v>215.3916494</v>
      </c>
    </row>
    <row r="14">
      <c r="A14" s="1">
        <v>15.8935094743045</v>
      </c>
      <c r="B14" s="1">
        <v>-73.8215854937448</v>
      </c>
      <c r="C14" s="1">
        <v>1.07040585615627</v>
      </c>
      <c r="D14" s="1">
        <v>8.53034973144531</v>
      </c>
      <c r="E14" s="1">
        <v>13.0</v>
      </c>
      <c r="F14" s="1">
        <v>1.0</v>
      </c>
      <c r="G14" s="1">
        <v>1.0</v>
      </c>
      <c r="H14" s="1">
        <v>0.820524105144389</v>
      </c>
      <c r="I14" s="1">
        <v>-63.0</v>
      </c>
      <c r="J14" s="1">
        <v>25.0</v>
      </c>
      <c r="K14" s="1">
        <v>-5.0</v>
      </c>
      <c r="L14" s="1">
        <v>13.0</v>
      </c>
      <c r="M14" s="4">
        <f t="shared" si="1"/>
        <v>67.77905281</v>
      </c>
      <c r="N14" s="4">
        <f t="shared" si="2"/>
        <v>67.96180106</v>
      </c>
      <c r="O14" s="4">
        <f t="shared" si="3"/>
        <v>-0.1827482526</v>
      </c>
      <c r="P14" s="4">
        <f t="shared" si="4"/>
        <v>0.03339692384</v>
      </c>
      <c r="Q14" s="5">
        <f t="shared" si="5"/>
        <v>223.2904417</v>
      </c>
      <c r="R14" s="5">
        <f t="shared" si="6"/>
        <v>204.3016882</v>
      </c>
      <c r="S14" s="5">
        <f t="shared" si="7"/>
        <v>18.98875357</v>
      </c>
      <c r="T14" s="5">
        <f t="shared" si="8"/>
        <v>216.1799296</v>
      </c>
    </row>
    <row r="15">
      <c r="A15" s="1">
        <v>15.6574543537517</v>
      </c>
      <c r="B15" s="1">
        <v>-78.935271948029</v>
      </c>
      <c r="C15" s="1">
        <v>1.04926508631336</v>
      </c>
      <c r="D15" s="1">
        <v>7.03033435344696</v>
      </c>
      <c r="E15" s="1">
        <v>14.0</v>
      </c>
      <c r="F15" s="1">
        <v>1.0</v>
      </c>
      <c r="G15" s="1">
        <v>1.0</v>
      </c>
      <c r="H15" s="1">
        <v>0.838996019797482</v>
      </c>
      <c r="I15" s="1">
        <v>-67.0</v>
      </c>
      <c r="J15" s="1">
        <v>27.0</v>
      </c>
      <c r="K15" s="1">
        <v>-4.0</v>
      </c>
      <c r="L15" s="1">
        <v>11.0</v>
      </c>
      <c r="M15" s="4">
        <f t="shared" si="1"/>
        <v>72.23572523</v>
      </c>
      <c r="N15" s="4">
        <f t="shared" si="2"/>
        <v>72.42586387</v>
      </c>
      <c r="O15" s="4">
        <f t="shared" si="3"/>
        <v>-0.1901386401</v>
      </c>
      <c r="P15" s="4">
        <f t="shared" si="4"/>
        <v>0.03615270245</v>
      </c>
      <c r="Q15" s="5">
        <f t="shared" si="5"/>
        <v>223.8988695</v>
      </c>
      <c r="R15" s="5">
        <f t="shared" si="6"/>
        <v>202.4402986</v>
      </c>
      <c r="S15" s="5">
        <f t="shared" si="7"/>
        <v>21.45857096</v>
      </c>
      <c r="T15" s="5">
        <f t="shared" si="8"/>
        <v>214.31854</v>
      </c>
    </row>
    <row r="16">
      <c r="A16" s="1">
        <v>16.7039650222202</v>
      </c>
      <c r="B16" s="1">
        <v>-84.9879381589475</v>
      </c>
      <c r="C16" s="1">
        <v>1.06331206141616</v>
      </c>
      <c r="D16" s="1">
        <v>5.53033423423767</v>
      </c>
      <c r="E16" s="1">
        <v>15.0</v>
      </c>
      <c r="F16" s="1">
        <v>1.0</v>
      </c>
      <c r="G16" s="1">
        <v>1.0</v>
      </c>
      <c r="H16" s="1">
        <v>0.806161832908446</v>
      </c>
      <c r="I16" s="1">
        <v>-72.0</v>
      </c>
      <c r="J16" s="1">
        <v>29.0</v>
      </c>
      <c r="K16" s="1">
        <v>-5.0</v>
      </c>
      <c r="L16" s="1">
        <v>9.0</v>
      </c>
      <c r="M16" s="4">
        <f t="shared" si="1"/>
        <v>77.62087348</v>
      </c>
      <c r="N16" s="4">
        <f t="shared" si="2"/>
        <v>77.9525329</v>
      </c>
      <c r="O16" s="4">
        <f t="shared" si="3"/>
        <v>-0.3316594139</v>
      </c>
      <c r="P16" s="4">
        <f t="shared" si="4"/>
        <v>0.1099979668</v>
      </c>
      <c r="Q16" s="5">
        <f t="shared" si="5"/>
        <v>223.8783303</v>
      </c>
      <c r="R16" s="5">
        <f t="shared" si="6"/>
        <v>202.240239</v>
      </c>
      <c r="S16" s="5">
        <f t="shared" si="7"/>
        <v>21.63809137</v>
      </c>
      <c r="T16" s="5">
        <f t="shared" si="8"/>
        <v>214.1184804</v>
      </c>
    </row>
    <row r="17">
      <c r="A17" s="1">
        <v>20.2729492035889</v>
      </c>
      <c r="B17" s="1">
        <v>-88.3036926067525</v>
      </c>
      <c r="C17" s="1">
        <v>0.961139906578499</v>
      </c>
      <c r="D17" s="1">
        <v>21.0303800106049</v>
      </c>
      <c r="E17" s="1">
        <v>16.0</v>
      </c>
      <c r="F17" s="1">
        <v>1.0</v>
      </c>
      <c r="G17" s="1">
        <v>1.0</v>
      </c>
      <c r="H17" s="1">
        <v>0.839576755423749</v>
      </c>
      <c r="I17" s="1">
        <v>-76.0</v>
      </c>
      <c r="J17" s="1">
        <v>27.0</v>
      </c>
      <c r="K17" s="1">
        <v>0.0</v>
      </c>
      <c r="L17" s="1">
        <v>25.0</v>
      </c>
      <c r="M17" s="4">
        <f t="shared" si="1"/>
        <v>80.65358021</v>
      </c>
      <c r="N17" s="4">
        <f t="shared" si="2"/>
        <v>81.5408672</v>
      </c>
      <c r="O17" s="4">
        <f t="shared" si="3"/>
        <v>-0.8872869953</v>
      </c>
      <c r="P17" s="4">
        <f t="shared" si="4"/>
        <v>0.787278212</v>
      </c>
      <c r="Q17" s="5">
        <f t="shared" si="5"/>
        <v>219.1178419</v>
      </c>
      <c r="R17" s="5">
        <f t="shared" si="6"/>
        <v>205.8612783</v>
      </c>
      <c r="S17" s="5">
        <f t="shared" si="7"/>
        <v>13.25656362</v>
      </c>
      <c r="T17" s="5">
        <f t="shared" si="8"/>
        <v>217.7395197</v>
      </c>
    </row>
    <row r="18">
      <c r="A18" s="1">
        <v>23.1109386825552</v>
      </c>
      <c r="B18" s="1">
        <v>-92.7859626334651</v>
      </c>
      <c r="C18" s="1">
        <v>0.961121574289632</v>
      </c>
      <c r="D18" s="1">
        <v>357.030378103256</v>
      </c>
      <c r="E18" s="1">
        <v>17.0</v>
      </c>
      <c r="F18" s="1">
        <v>1.0</v>
      </c>
      <c r="G18" s="1">
        <v>1.0</v>
      </c>
      <c r="H18" s="1">
        <v>0.816009095143412</v>
      </c>
      <c r="I18" s="1">
        <v>-80.0</v>
      </c>
      <c r="J18" s="1">
        <v>29.0</v>
      </c>
      <c r="K18" s="1">
        <v>0.0</v>
      </c>
      <c r="L18" s="1">
        <v>1.0</v>
      </c>
      <c r="M18" s="4">
        <f t="shared" si="1"/>
        <v>85.0940656</v>
      </c>
      <c r="N18" s="4">
        <f t="shared" si="2"/>
        <v>86.05878097</v>
      </c>
      <c r="O18" s="4">
        <f t="shared" si="3"/>
        <v>-0.9647153739</v>
      </c>
      <c r="P18" s="4">
        <f t="shared" si="4"/>
        <v>0.9306757526</v>
      </c>
      <c r="Q18" s="5">
        <f t="shared" si="5"/>
        <v>219.8524273</v>
      </c>
      <c r="R18" s="5">
        <f t="shared" si="6"/>
        <v>207.9741859</v>
      </c>
      <c r="S18" s="5">
        <f t="shared" si="7"/>
        <v>11.87824146</v>
      </c>
      <c r="T18" s="5">
        <f t="shared" si="8"/>
        <v>219.8524273</v>
      </c>
    </row>
    <row r="19">
      <c r="A19" s="1">
        <v>20.0474660664196</v>
      </c>
      <c r="B19" s="1">
        <v>-100.375802102938</v>
      </c>
      <c r="C19" s="1">
        <v>1.08809465769134</v>
      </c>
      <c r="D19" s="1">
        <v>20.8648812770844</v>
      </c>
      <c r="E19" s="1">
        <v>18.0</v>
      </c>
      <c r="F19" s="1">
        <v>1.0</v>
      </c>
      <c r="G19" s="1">
        <v>1.0</v>
      </c>
      <c r="H19" s="1">
        <v>0.73372668023545</v>
      </c>
      <c r="I19" s="1">
        <v>-84.0</v>
      </c>
      <c r="J19" s="1">
        <v>34.0</v>
      </c>
      <c r="K19" s="1">
        <v>-6.0</v>
      </c>
      <c r="L19" s="1">
        <v>25.0</v>
      </c>
      <c r="M19" s="4">
        <f t="shared" si="1"/>
        <v>90.62008607</v>
      </c>
      <c r="N19" s="4">
        <f t="shared" si="2"/>
        <v>92.12238631</v>
      </c>
      <c r="O19" s="4">
        <f t="shared" si="3"/>
        <v>-1.502300241</v>
      </c>
      <c r="P19" s="4">
        <f t="shared" si="4"/>
        <v>2.256906013</v>
      </c>
      <c r="Q19" s="5">
        <f t="shared" si="5"/>
        <v>224.073626</v>
      </c>
      <c r="R19" s="5">
        <f t="shared" si="6"/>
        <v>202.5905606</v>
      </c>
      <c r="S19" s="5">
        <f t="shared" si="7"/>
        <v>21.48306541</v>
      </c>
      <c r="T19" s="5">
        <f t="shared" si="8"/>
        <v>214.4688021</v>
      </c>
    </row>
    <row r="20">
      <c r="A20" s="1">
        <v>24.1323833345174</v>
      </c>
      <c r="B20" s="1">
        <v>-102.384106408659</v>
      </c>
      <c r="C20" s="1">
        <v>1.03860978487288</v>
      </c>
      <c r="D20" s="1">
        <v>15.3648812770844</v>
      </c>
      <c r="E20" s="1">
        <v>18.0</v>
      </c>
      <c r="F20" s="1">
        <v>0.857309601178241</v>
      </c>
      <c r="G20" s="1">
        <v>1.0</v>
      </c>
      <c r="H20" s="1">
        <v>0.857309601178241</v>
      </c>
      <c r="I20" s="1">
        <v>-88.0</v>
      </c>
      <c r="J20" s="1">
        <v>32.0</v>
      </c>
      <c r="K20" s="1">
        <v>-4.0</v>
      </c>
      <c r="L20" s="1">
        <v>19.0</v>
      </c>
      <c r="M20" s="4">
        <f t="shared" si="1"/>
        <v>93.63759929</v>
      </c>
      <c r="N20" s="4">
        <f t="shared" si="2"/>
        <v>94.6707479</v>
      </c>
      <c r="O20" s="4">
        <f t="shared" si="3"/>
        <v>-1.033148615</v>
      </c>
      <c r="P20" s="4">
        <f t="shared" si="4"/>
        <v>1.067396061</v>
      </c>
      <c r="Q20" s="5">
        <f t="shared" si="5"/>
        <v>219.9673631</v>
      </c>
      <c r="R20" s="5">
        <f t="shared" si="6"/>
        <v>206.5266435</v>
      </c>
      <c r="S20" s="5">
        <f t="shared" si="7"/>
        <v>13.44071962</v>
      </c>
      <c r="T20" s="5">
        <f t="shared" si="8"/>
        <v>218.404885</v>
      </c>
    </row>
    <row r="21">
      <c r="A21" s="1">
        <v>24.57372272302</v>
      </c>
      <c r="B21" s="1">
        <v>-106.767453803276</v>
      </c>
      <c r="C21" s="1">
        <v>1.03642635975957</v>
      </c>
      <c r="D21" s="1">
        <v>356.86446928978</v>
      </c>
      <c r="E21" s="1">
        <v>19.0</v>
      </c>
      <c r="F21" s="1">
        <v>1.0</v>
      </c>
      <c r="G21" s="1">
        <v>1.0</v>
      </c>
      <c r="H21" s="1">
        <v>0.754234826213093</v>
      </c>
      <c r="I21" s="1">
        <v>-92.0</v>
      </c>
      <c r="J21" s="1">
        <v>34.0</v>
      </c>
      <c r="K21" s="1">
        <v>-4.0</v>
      </c>
      <c r="L21" s="1">
        <v>0.0</v>
      </c>
      <c r="M21" s="4">
        <f t="shared" si="1"/>
        <v>98.08159868</v>
      </c>
      <c r="N21" s="4">
        <f t="shared" si="2"/>
        <v>98.60302836</v>
      </c>
      <c r="O21" s="4">
        <f t="shared" si="3"/>
        <v>-0.5214296817</v>
      </c>
      <c r="P21" s="4">
        <f t="shared" si="4"/>
        <v>0.271888913</v>
      </c>
      <c r="Q21" s="5">
        <f t="shared" si="5"/>
        <v>220.5662141</v>
      </c>
      <c r="R21" s="5">
        <f t="shared" si="6"/>
        <v>205.9240892</v>
      </c>
      <c r="S21" s="5">
        <f t="shared" si="7"/>
        <v>14.6421249</v>
      </c>
      <c r="T21" s="5">
        <f t="shared" si="8"/>
        <v>217.8023306</v>
      </c>
    </row>
    <row r="22">
      <c r="A22" s="1">
        <v>29.4328732352</v>
      </c>
      <c r="B22" s="1">
        <v>-109.5701769729</v>
      </c>
      <c r="C22" s="1">
        <v>1.07861134093534</v>
      </c>
      <c r="D22" s="1">
        <v>356.86446928978</v>
      </c>
      <c r="E22" s="1">
        <v>20.0</v>
      </c>
      <c r="F22" s="1">
        <v>1.0</v>
      </c>
      <c r="G22" s="1">
        <v>1.0</v>
      </c>
      <c r="H22" s="1">
        <v>0.823186450126083</v>
      </c>
      <c r="I22" s="1">
        <v>-96.0</v>
      </c>
      <c r="J22" s="1">
        <v>32.0</v>
      </c>
      <c r="K22" s="1">
        <v>-6.0</v>
      </c>
      <c r="L22" s="1">
        <v>0.0</v>
      </c>
      <c r="M22" s="4">
        <f t="shared" si="1"/>
        <v>101.1928851</v>
      </c>
      <c r="N22" s="4">
        <f t="shared" si="2"/>
        <v>102.1090268</v>
      </c>
      <c r="O22" s="4">
        <f t="shared" si="3"/>
        <v>-0.9161416259</v>
      </c>
      <c r="P22" s="4">
        <f t="shared" si="4"/>
        <v>0.8393154787</v>
      </c>
      <c r="Q22" s="5">
        <f t="shared" si="5"/>
        <v>216.8709719</v>
      </c>
      <c r="R22" s="5">
        <f t="shared" si="6"/>
        <v>210.0728121</v>
      </c>
      <c r="S22" s="5">
        <f t="shared" si="7"/>
        <v>6.798159839</v>
      </c>
      <c r="T22" s="5">
        <f t="shared" si="8"/>
        <v>221.9510536</v>
      </c>
    </row>
    <row r="23">
      <c r="A23" s="1">
        <v>33.4853653664074</v>
      </c>
      <c r="B23" s="1">
        <v>-112.925887172496</v>
      </c>
      <c r="C23" s="1">
        <v>1.07861134093534</v>
      </c>
      <c r="D23" s="1">
        <v>6.36446928977966</v>
      </c>
      <c r="E23" s="1">
        <v>21.0</v>
      </c>
      <c r="F23" s="1">
        <v>1.0</v>
      </c>
      <c r="G23" s="1">
        <v>1.0</v>
      </c>
      <c r="H23" s="1">
        <v>0.837398655900835</v>
      </c>
      <c r="I23" s="1">
        <v>-100.0</v>
      </c>
      <c r="J23" s="1">
        <v>30.0</v>
      </c>
      <c r="K23" s="1">
        <v>-6.0</v>
      </c>
      <c r="L23" s="1">
        <v>10.0</v>
      </c>
      <c r="M23" s="4">
        <f t="shared" si="1"/>
        <v>104.4030651</v>
      </c>
      <c r="N23" s="4">
        <f t="shared" si="2"/>
        <v>106.0073385</v>
      </c>
      <c r="O23" s="4">
        <f t="shared" si="3"/>
        <v>-1.604273368</v>
      </c>
      <c r="P23" s="4">
        <f t="shared" si="4"/>
        <v>2.57369304</v>
      </c>
      <c r="Q23" s="5">
        <f t="shared" si="5"/>
        <v>213.3995398</v>
      </c>
      <c r="R23" s="5">
        <f t="shared" si="6"/>
        <v>213.033762</v>
      </c>
      <c r="S23" s="5">
        <f t="shared" si="7"/>
        <v>0.3657778097</v>
      </c>
      <c r="T23" s="5">
        <f t="shared" si="8"/>
        <v>224.9120034</v>
      </c>
    </row>
    <row r="24">
      <c r="A24" s="1">
        <v>31.3515301429977</v>
      </c>
      <c r="B24" s="1">
        <v>-120.976659941324</v>
      </c>
      <c r="C24" s="1">
        <v>0.995891331788134</v>
      </c>
      <c r="D24" s="1">
        <v>12.3644697666168</v>
      </c>
      <c r="E24" s="1">
        <v>22.0</v>
      </c>
      <c r="F24" s="1">
        <v>1.0</v>
      </c>
      <c r="G24" s="1">
        <v>1.0</v>
      </c>
      <c r="H24" s="1">
        <v>0.732345259876082</v>
      </c>
      <c r="I24" s="1">
        <v>-105.0</v>
      </c>
      <c r="J24" s="1">
        <v>35.0</v>
      </c>
      <c r="K24" s="1">
        <v>-2.0</v>
      </c>
      <c r="L24" s="1">
        <v>17.0</v>
      </c>
      <c r="M24" s="4">
        <f t="shared" si="1"/>
        <v>110.6797181</v>
      </c>
      <c r="N24" s="4">
        <f t="shared" si="2"/>
        <v>112.4757719</v>
      </c>
      <c r="O24" s="4">
        <f t="shared" si="3"/>
        <v>-1.79605378</v>
      </c>
      <c r="P24" s="4">
        <f t="shared" si="4"/>
        <v>3.225809179</v>
      </c>
      <c r="Q24" s="5">
        <f t="shared" si="5"/>
        <v>216.8708799</v>
      </c>
      <c r="R24" s="5">
        <f t="shared" si="6"/>
        <v>209.0584463</v>
      </c>
      <c r="S24" s="5">
        <f t="shared" si="7"/>
        <v>7.812433508</v>
      </c>
      <c r="T24" s="5">
        <f t="shared" si="8"/>
        <v>220.9366878</v>
      </c>
    </row>
    <row r="25">
      <c r="A25" s="1">
        <v>36.1391527807543</v>
      </c>
      <c r="B25" s="1">
        <v>-124.93849402193</v>
      </c>
      <c r="C25" s="1">
        <v>1.0714630593607</v>
      </c>
      <c r="D25" s="1">
        <v>16.3644697666168</v>
      </c>
      <c r="E25" s="1">
        <v>23.0</v>
      </c>
      <c r="F25" s="1">
        <v>1.0</v>
      </c>
      <c r="G25" s="1">
        <v>1.0</v>
      </c>
      <c r="H25" s="1">
        <v>0.799605562807556</v>
      </c>
      <c r="I25" s="1">
        <v>-110.0</v>
      </c>
      <c r="J25" s="1">
        <v>33.0</v>
      </c>
      <c r="K25" s="1">
        <v>-6.0</v>
      </c>
      <c r="L25" s="1">
        <v>21.0</v>
      </c>
      <c r="M25" s="4">
        <f t="shared" si="1"/>
        <v>114.8433716</v>
      </c>
      <c r="N25" s="4">
        <f t="shared" si="2"/>
        <v>117.0542147</v>
      </c>
      <c r="O25" s="4">
        <f t="shared" si="3"/>
        <v>-2.210843099</v>
      </c>
      <c r="P25" s="4">
        <f t="shared" si="4"/>
        <v>4.887827207</v>
      </c>
      <c r="Q25" s="5">
        <f t="shared" si="5"/>
        <v>213.3994442</v>
      </c>
      <c r="R25" s="5">
        <f t="shared" si="6"/>
        <v>212.2664588</v>
      </c>
      <c r="S25" s="5">
        <f t="shared" si="7"/>
        <v>1.132985342</v>
      </c>
      <c r="T25" s="5">
        <f t="shared" si="8"/>
        <v>224.1447003</v>
      </c>
    </row>
    <row r="26">
      <c r="A26" s="1">
        <v>35.4448255287119</v>
      </c>
      <c r="B26" s="1">
        <v>-131.890545390593</v>
      </c>
      <c r="C26" s="1">
        <v>1.009223716659</v>
      </c>
      <c r="D26" s="1">
        <v>359.364469766617</v>
      </c>
      <c r="E26" s="1">
        <v>24.0</v>
      </c>
      <c r="F26" s="1">
        <v>1.0</v>
      </c>
      <c r="G26" s="1">
        <v>1.0</v>
      </c>
      <c r="H26" s="1">
        <v>0.776143212616261</v>
      </c>
      <c r="I26" s="1">
        <v>-115.0</v>
      </c>
      <c r="J26" s="1">
        <v>38.0</v>
      </c>
      <c r="K26" s="1">
        <v>-3.0</v>
      </c>
      <c r="L26" s="1">
        <v>4.0</v>
      </c>
      <c r="M26" s="4">
        <f t="shared" si="1"/>
        <v>121.1156472</v>
      </c>
      <c r="N26" s="4">
        <f t="shared" si="2"/>
        <v>122.9132857</v>
      </c>
      <c r="O26" s="4">
        <f t="shared" si="3"/>
        <v>-1.79763853</v>
      </c>
      <c r="P26" s="4">
        <f t="shared" si="4"/>
        <v>3.231504285</v>
      </c>
      <c r="Q26" s="5">
        <f t="shared" si="5"/>
        <v>216.571602</v>
      </c>
      <c r="R26" s="5">
        <f t="shared" si="6"/>
        <v>210.0857971</v>
      </c>
      <c r="S26" s="5">
        <f t="shared" si="7"/>
        <v>6.485804865</v>
      </c>
      <c r="T26" s="5">
        <f t="shared" si="8"/>
        <v>221.9640386</v>
      </c>
    </row>
    <row r="27">
      <c r="A27" s="1">
        <v>36.1309120715822</v>
      </c>
      <c r="B27" s="1">
        <v>-137.038561303838</v>
      </c>
      <c r="C27" s="1">
        <v>1.07146309002574</v>
      </c>
      <c r="D27" s="1">
        <v>358.864469766617</v>
      </c>
      <c r="E27" s="1">
        <v>25.0</v>
      </c>
      <c r="F27" s="1">
        <v>1.0</v>
      </c>
      <c r="G27" s="1">
        <v>1.0</v>
      </c>
      <c r="H27" s="1">
        <v>0.833595562487285</v>
      </c>
      <c r="I27" s="1">
        <v>-119.0</v>
      </c>
      <c r="J27" s="1">
        <v>40.0</v>
      </c>
      <c r="K27" s="1">
        <v>-6.0</v>
      </c>
      <c r="L27" s="1">
        <v>3.0</v>
      </c>
      <c r="M27" s="4">
        <f t="shared" si="1"/>
        <v>125.5428214</v>
      </c>
      <c r="N27" s="4">
        <f t="shared" si="2"/>
        <v>127.5494342</v>
      </c>
      <c r="O27" s="4">
        <f t="shared" si="3"/>
        <v>-2.006612856</v>
      </c>
      <c r="P27" s="4">
        <f t="shared" si="4"/>
        <v>4.026495156</v>
      </c>
      <c r="Q27" s="5">
        <f t="shared" si="5"/>
        <v>217.159406</v>
      </c>
      <c r="R27" s="5">
        <f t="shared" si="6"/>
        <v>209.5411837</v>
      </c>
      <c r="S27" s="5">
        <f t="shared" si="7"/>
        <v>7.618222304</v>
      </c>
      <c r="T27" s="5">
        <f t="shared" si="8"/>
        <v>221.4194251</v>
      </c>
    </row>
    <row r="28">
      <c r="A28" s="1">
        <v>33.3362322773562</v>
      </c>
      <c r="B28" s="1">
        <v>-145.577235382758</v>
      </c>
      <c r="C28" s="1">
        <v>1.07146309002574</v>
      </c>
      <c r="D28" s="1">
        <v>11.3644707202911</v>
      </c>
      <c r="E28" s="1">
        <v>26.0</v>
      </c>
      <c r="F28" s="1">
        <v>1.0</v>
      </c>
      <c r="G28" s="1">
        <v>1.0</v>
      </c>
      <c r="H28" s="1">
        <v>0.720494776611217</v>
      </c>
      <c r="I28" s="1">
        <v>-124.0</v>
      </c>
      <c r="J28" s="1">
        <v>45.0</v>
      </c>
      <c r="K28" s="1">
        <v>-6.0</v>
      </c>
      <c r="L28" s="1">
        <v>16.0</v>
      </c>
      <c r="M28" s="4">
        <f t="shared" si="1"/>
        <v>131.91285</v>
      </c>
      <c r="N28" s="4">
        <f t="shared" si="2"/>
        <v>134.4108219</v>
      </c>
      <c r="O28" s="4">
        <f t="shared" si="3"/>
        <v>-2.497971844</v>
      </c>
      <c r="P28" s="4">
        <f t="shared" si="4"/>
        <v>6.239863333</v>
      </c>
      <c r="Q28" s="5">
        <f t="shared" si="5"/>
        <v>219.8928123</v>
      </c>
      <c r="R28" s="5">
        <f t="shared" si="6"/>
        <v>205.796705</v>
      </c>
      <c r="S28" s="5">
        <f t="shared" si="7"/>
        <v>14.09610731</v>
      </c>
      <c r="T28" s="5">
        <f t="shared" si="8"/>
        <v>217.6749465</v>
      </c>
    </row>
    <row r="29">
      <c r="A29" s="1">
        <v>31.1244806779529</v>
      </c>
      <c r="B29" s="1">
        <v>-153.51852308679</v>
      </c>
      <c r="C29" s="1">
        <v>1.0295577162734</v>
      </c>
      <c r="D29" s="1">
        <v>13.3644707202911</v>
      </c>
      <c r="E29" s="1">
        <v>27.0</v>
      </c>
      <c r="F29" s="1">
        <v>1.0</v>
      </c>
      <c r="G29" s="1">
        <v>1.0</v>
      </c>
      <c r="H29" s="1">
        <v>0.738427575560694</v>
      </c>
      <c r="I29" s="1">
        <v>-129.0</v>
      </c>
      <c r="J29" s="1">
        <v>50.0</v>
      </c>
      <c r="K29" s="1">
        <v>-4.0</v>
      </c>
      <c r="L29" s="1">
        <v>19.0</v>
      </c>
      <c r="M29" s="4">
        <f t="shared" si="1"/>
        <v>138.3510029</v>
      </c>
      <c r="N29" s="4">
        <f t="shared" si="2"/>
        <v>140.977668</v>
      </c>
      <c r="O29" s="4">
        <f t="shared" si="3"/>
        <v>-2.626665148</v>
      </c>
      <c r="P29" s="4">
        <f t="shared" si="4"/>
        <v>6.899369802</v>
      </c>
      <c r="Q29" s="5">
        <f t="shared" si="5"/>
        <v>222.3731252</v>
      </c>
      <c r="R29" s="5">
        <f t="shared" si="6"/>
        <v>202.9224239</v>
      </c>
      <c r="S29" s="5">
        <f t="shared" si="7"/>
        <v>19.45070125</v>
      </c>
      <c r="T29" s="5">
        <f t="shared" si="8"/>
        <v>214.8006654</v>
      </c>
    </row>
    <row r="30">
      <c r="A30" s="1">
        <v>34.4189173205315</v>
      </c>
      <c r="B30" s="1">
        <v>-156.354768212997</v>
      </c>
      <c r="C30" s="1">
        <v>1.00253531919796</v>
      </c>
      <c r="D30" s="1">
        <v>21.8644707202911</v>
      </c>
      <c r="E30" s="1">
        <v>27.0</v>
      </c>
      <c r="F30" s="1">
        <v>0.857383928068846</v>
      </c>
      <c r="G30" s="1">
        <v>1.0</v>
      </c>
      <c r="H30" s="1">
        <v>0.857383928068846</v>
      </c>
      <c r="I30" s="1">
        <v>-133.0</v>
      </c>
      <c r="J30" s="1">
        <v>48.0</v>
      </c>
      <c r="K30" s="1">
        <v>-3.0</v>
      </c>
      <c r="L30" s="1">
        <v>28.0</v>
      </c>
      <c r="M30" s="4">
        <f t="shared" si="1"/>
        <v>141.3966053</v>
      </c>
      <c r="N30" s="4">
        <f t="shared" si="2"/>
        <v>144.0884974</v>
      </c>
      <c r="O30" s="4">
        <f t="shared" si="3"/>
        <v>-2.69189207</v>
      </c>
      <c r="P30" s="4">
        <f t="shared" si="4"/>
        <v>7.246282915</v>
      </c>
      <c r="Q30" s="5">
        <f t="shared" si="5"/>
        <v>219.6900174</v>
      </c>
      <c r="R30" s="5">
        <f t="shared" si="6"/>
        <v>204.8301239</v>
      </c>
      <c r="S30" s="5">
        <f t="shared" si="7"/>
        <v>14.85989356</v>
      </c>
      <c r="T30" s="5">
        <f t="shared" si="8"/>
        <v>216.7083653</v>
      </c>
    </row>
    <row r="31">
      <c r="A31" s="1">
        <v>32.7701548270866</v>
      </c>
      <c r="B31" s="1">
        <v>-163.859585872291</v>
      </c>
      <c r="C31" s="1">
        <v>1.00253531919796</v>
      </c>
      <c r="D31" s="1">
        <v>18.3644707202911</v>
      </c>
      <c r="E31" s="1">
        <v>28.0</v>
      </c>
      <c r="F31" s="1">
        <v>1.0</v>
      </c>
      <c r="G31" s="1">
        <v>0.0</v>
      </c>
      <c r="H31" s="1">
        <v>0.0</v>
      </c>
      <c r="I31" s="1">
        <v>-138.0</v>
      </c>
      <c r="J31" s="1">
        <v>53.0</v>
      </c>
      <c r="K31" s="1">
        <v>-3.0</v>
      </c>
      <c r="L31" s="1">
        <v>24.0</v>
      </c>
      <c r="M31" s="4">
        <f t="shared" si="1"/>
        <v>147.8276023</v>
      </c>
      <c r="N31" s="4">
        <f t="shared" si="2"/>
        <v>150.3938696</v>
      </c>
      <c r="O31" s="4">
        <f t="shared" si="3"/>
        <v>-2.566267305</v>
      </c>
      <c r="P31" s="4">
        <f t="shared" si="4"/>
        <v>6.585727881</v>
      </c>
      <c r="Q31" s="5">
        <f t="shared" si="5"/>
        <v>222.0200917</v>
      </c>
      <c r="R31" s="5">
        <f t="shared" si="6"/>
        <v>202.6193523</v>
      </c>
      <c r="S31" s="5">
        <f t="shared" si="7"/>
        <v>19.40073938</v>
      </c>
      <c r="T31" s="5">
        <f t="shared" si="8"/>
        <v>214.4975938</v>
      </c>
    </row>
    <row r="32">
      <c r="Q32" s="5"/>
      <c r="S32" s="5">
        <f> MEDIAN(S2:S18)</f>
        <v>11.87824146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