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<sst xmlns="http://schemas.openxmlformats.org/spreadsheetml/2006/main" count="20" uniqueCount="20">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</sst>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8529330"/>
        <c:axId val="1598790906"/>
      </c:lineChart>
      <c:catAx>
        <c:axId val="18529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790906"/>
      </c:catAx>
      <c:valAx>
        <c:axId val="1598790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9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419084680"/>
        <c:axId val="59366015"/>
      </c:lineChart>
      <c:catAx>
        <c:axId val="41908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366015"/>
      </c:catAx>
      <c:valAx>
        <c:axId val="593660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084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037174"/>
        <c:axId val="630542956"/>
      </c:scatterChart>
      <c:valAx>
        <c:axId val="8410371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542956"/>
      </c:valAx>
      <c:valAx>
        <c:axId val="630542956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037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95372"/>
        <c:axId val="1145282916"/>
      </c:scatterChart>
      <c:valAx>
        <c:axId val="5383953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5282916"/>
      </c:valAx>
      <c:valAx>
        <c:axId val="1145282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395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190500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39</xdr:row>
      <xdr:rowOff>190500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-1.24999903142452</v>
      </c>
      <c r="B2" s="1">
        <v>3.87499988079071</v>
      </c>
      <c r="C2" s="1">
        <v>1.11967420578003</v>
      </c>
      <c r="D2" s="1">
        <v>19.0</v>
      </c>
      <c r="E2" s="1">
        <v>0.0</v>
      </c>
      <c r="F2" s="1">
        <v>0.871941831223713</v>
      </c>
      <c r="G2" s="1">
        <v>1.0</v>
      </c>
      <c r="H2" s="1">
        <v>0.871941831223713</v>
      </c>
      <c r="I2" s="1">
        <v>-4.0</v>
      </c>
      <c r="J2" s="1">
        <v>1.0</v>
      </c>
      <c r="K2" s="1">
        <v>-5.0</v>
      </c>
      <c r="L2" s="1">
        <v>21.0</v>
      </c>
      <c r="M2" s="4">
        <f t="shared" ref="M2:M21" si="1">SQRT(I2*I2 + J2*J2)</f>
        <v>4.123105626</v>
      </c>
      <c r="N2" s="4">
        <f t="shared" ref="N2:N21" si="2">SQRT(A2*A2 + B2*B2) * 0.9</f>
        <v>3.664461562</v>
      </c>
      <c r="O2" s="4">
        <f t="shared" ref="O2:O21" si="3"> (M2 - N2)</f>
        <v>0.4586440635</v>
      </c>
      <c r="P2" s="4">
        <f t="shared" ref="P2:P21" si="4"> O2 * O2</f>
        <v>0.210354377</v>
      </c>
      <c r="Q2" s="5">
        <f t="shared" ref="Q2:Q21" si="5">MOD(ATAN(I2 / (J2 + 0.001)) / PI() * 360, 360)</f>
        <v>208.0994481</v>
      </c>
      <c r="R2" s="5">
        <f t="shared" ref="R2:R21" si="6">MOD(ATAN(B2 / (A2 + 0.001)) / PI() * 360, 360)</f>
        <v>215.7305814</v>
      </c>
      <c r="S2" s="5">
        <f t="shared" ref="S2:S21" si="7">Q2 - R2</f>
        <v>-7.631133354</v>
      </c>
      <c r="T2" s="5">
        <f t="shared" ref="T2:T21" si="8"> R2 + S$22</f>
        <v>355.927026</v>
      </c>
    </row>
    <row r="3">
      <c r="A3" s="1">
        <v>1.81249994784594</v>
      </c>
      <c r="B3" s="1">
        <v>9.375</v>
      </c>
      <c r="C3" s="1">
        <v>1.04070246219635</v>
      </c>
      <c r="D3" s="1">
        <v>33.9999847412109</v>
      </c>
      <c r="E3" s="1">
        <v>1.0</v>
      </c>
      <c r="F3" s="1">
        <v>1.0</v>
      </c>
      <c r="G3" s="1">
        <v>0.0</v>
      </c>
      <c r="H3" s="1">
        <v>0.0</v>
      </c>
      <c r="I3" s="1">
        <v>-9.0</v>
      </c>
      <c r="J3" s="1">
        <v>5.0</v>
      </c>
      <c r="K3" s="1">
        <v>-2.0</v>
      </c>
      <c r="L3" s="1">
        <v>37.0</v>
      </c>
      <c r="M3" s="4">
        <f t="shared" si="1"/>
        <v>10.29563014</v>
      </c>
      <c r="N3" s="4">
        <f t="shared" si="2"/>
        <v>8.5937409</v>
      </c>
      <c r="O3" s="4">
        <f t="shared" si="3"/>
        <v>1.701889241</v>
      </c>
      <c r="P3" s="4">
        <f t="shared" si="4"/>
        <v>2.896426988</v>
      </c>
      <c r="Q3" s="5">
        <f t="shared" si="5"/>
        <v>238.1189372</v>
      </c>
      <c r="R3" s="5">
        <f t="shared" si="6"/>
        <v>158.1038473</v>
      </c>
      <c r="S3" s="5">
        <f t="shared" si="7"/>
        <v>80.01508987</v>
      </c>
      <c r="T3" s="5">
        <f t="shared" si="8"/>
        <v>298.3002919</v>
      </c>
    </row>
    <row r="4">
      <c r="A4" s="1">
        <v>5.37969262535197</v>
      </c>
      <c r="B4" s="1">
        <v>15.040905729978</v>
      </c>
      <c r="C4" s="1">
        <v>1.01338755335117</v>
      </c>
      <c r="D4" s="1">
        <v>41.4999847412109</v>
      </c>
      <c r="E4" s="1">
        <v>2.0</v>
      </c>
      <c r="F4" s="1">
        <v>1.0</v>
      </c>
      <c r="G4" s="1">
        <v>1.0</v>
      </c>
      <c r="H4" s="1">
        <v>0.782699458355421</v>
      </c>
      <c r="I4" s="1">
        <v>-14.0</v>
      </c>
      <c r="J4" s="1">
        <v>9.0</v>
      </c>
      <c r="K4" s="1">
        <v>-1.0</v>
      </c>
      <c r="L4" s="1">
        <v>45.0</v>
      </c>
      <c r="M4" s="4">
        <f t="shared" si="1"/>
        <v>16.64331698</v>
      </c>
      <c r="N4" s="4">
        <f t="shared" si="2"/>
        <v>14.37663555</v>
      </c>
      <c r="O4" s="4">
        <f t="shared" si="3"/>
        <v>2.266681428</v>
      </c>
      <c r="P4" s="4">
        <f t="shared" si="4"/>
        <v>5.137844695</v>
      </c>
      <c r="Q4" s="5">
        <f t="shared" si="5"/>
        <v>245.476244</v>
      </c>
      <c r="R4" s="5">
        <f t="shared" si="6"/>
        <v>140.6319534</v>
      </c>
      <c r="S4" s="5">
        <f t="shared" si="7"/>
        <v>104.8442906</v>
      </c>
      <c r="T4" s="5">
        <f t="shared" si="8"/>
        <v>280.828398</v>
      </c>
    </row>
    <row r="5">
      <c r="A5" s="1">
        <v>10.0592625310593</v>
      </c>
      <c r="B5" s="1">
        <v>18.6869547404566</v>
      </c>
      <c r="C5" s="1">
        <v>1.11967620553312</v>
      </c>
      <c r="D5" s="1">
        <v>50.4999694824219</v>
      </c>
      <c r="E5" s="1">
        <v>3.0</v>
      </c>
      <c r="F5" s="1">
        <v>1.0</v>
      </c>
      <c r="G5" s="1">
        <v>1.0</v>
      </c>
      <c r="H5" s="1">
        <v>0.814592552985045</v>
      </c>
      <c r="I5" s="1">
        <v>-18.0</v>
      </c>
      <c r="J5" s="1">
        <v>14.0</v>
      </c>
      <c r="K5" s="1">
        <v>-6.0</v>
      </c>
      <c r="L5" s="1">
        <v>53.0</v>
      </c>
      <c r="M5" s="4">
        <f t="shared" si="1"/>
        <v>22.8035085</v>
      </c>
      <c r="N5" s="4">
        <f t="shared" si="2"/>
        <v>19.1001765</v>
      </c>
      <c r="O5" s="4">
        <f t="shared" si="3"/>
        <v>3.703331997</v>
      </c>
      <c r="P5" s="4">
        <f t="shared" si="4"/>
        <v>13.71466788</v>
      </c>
      <c r="Q5" s="5">
        <f t="shared" si="5"/>
        <v>255.7539338</v>
      </c>
      <c r="R5" s="5">
        <f t="shared" si="6"/>
        <v>123.4077297</v>
      </c>
      <c r="S5" s="5">
        <f t="shared" si="7"/>
        <v>132.3462041</v>
      </c>
      <c r="T5" s="5">
        <f t="shared" si="8"/>
        <v>263.6041743</v>
      </c>
    </row>
    <row r="6">
      <c r="A6" s="1">
        <v>13.1209129180709</v>
      </c>
      <c r="B6" s="1">
        <v>23.5418588163379</v>
      </c>
      <c r="C6" s="1">
        <v>1.02014977132973</v>
      </c>
      <c r="D6" s="1">
        <v>72.4999694824219</v>
      </c>
      <c r="E6" s="1">
        <v>4.0</v>
      </c>
      <c r="F6" s="1">
        <v>1.0</v>
      </c>
      <c r="G6" s="1">
        <v>1.0</v>
      </c>
      <c r="H6" s="1">
        <v>0.821179580249374</v>
      </c>
      <c r="I6" s="1">
        <v>-23.0</v>
      </c>
      <c r="J6" s="1">
        <v>18.0</v>
      </c>
      <c r="K6" s="1">
        <v>-2.0</v>
      </c>
      <c r="L6" s="1">
        <v>76.0</v>
      </c>
      <c r="M6" s="4">
        <f t="shared" si="1"/>
        <v>29.20616373</v>
      </c>
      <c r="N6" s="4">
        <f t="shared" si="2"/>
        <v>24.25625182</v>
      </c>
      <c r="O6" s="4">
        <f t="shared" si="3"/>
        <v>4.949911908</v>
      </c>
      <c r="P6" s="4">
        <f t="shared" si="4"/>
        <v>24.5016279</v>
      </c>
      <c r="Q6" s="5">
        <f t="shared" si="5"/>
        <v>256.0971748</v>
      </c>
      <c r="R6" s="5">
        <f t="shared" si="6"/>
        <v>121.7305944</v>
      </c>
      <c r="S6" s="5">
        <f t="shared" si="7"/>
        <v>134.3665804</v>
      </c>
      <c r="T6" s="5">
        <f t="shared" si="8"/>
        <v>261.927039</v>
      </c>
    </row>
    <row r="7">
      <c r="A7" s="1">
        <v>18.1373903815114</v>
      </c>
      <c r="B7" s="1">
        <v>27.227740770287</v>
      </c>
      <c r="C7" s="1">
        <v>1.11225223331941</v>
      </c>
      <c r="D7" s="1">
        <v>83.9999704360962</v>
      </c>
      <c r="E7" s="1">
        <v>5.0</v>
      </c>
      <c r="F7" s="1">
        <v>1.0</v>
      </c>
      <c r="G7" s="1">
        <v>1.0</v>
      </c>
      <c r="H7" s="1">
        <v>0.805383419349254</v>
      </c>
      <c r="I7" s="1">
        <v>-27.0</v>
      </c>
      <c r="J7" s="1">
        <v>22.0</v>
      </c>
      <c r="K7" s="1">
        <v>-6.0</v>
      </c>
      <c r="L7" s="1">
        <v>88.0</v>
      </c>
      <c r="M7" s="4">
        <f t="shared" si="1"/>
        <v>34.82814953</v>
      </c>
      <c r="N7" s="4">
        <f t="shared" si="2"/>
        <v>29.44409934</v>
      </c>
      <c r="O7" s="4">
        <f t="shared" si="3"/>
        <v>5.384050197</v>
      </c>
      <c r="P7" s="4">
        <f t="shared" si="4"/>
        <v>28.98799652</v>
      </c>
      <c r="Q7" s="5">
        <f t="shared" si="5"/>
        <v>258.3498666</v>
      </c>
      <c r="R7" s="5">
        <f t="shared" si="6"/>
        <v>112.6590242</v>
      </c>
      <c r="S7" s="5">
        <f t="shared" si="7"/>
        <v>145.6908423</v>
      </c>
      <c r="T7" s="5">
        <f t="shared" si="8"/>
        <v>252.8554689</v>
      </c>
    </row>
    <row r="8">
      <c r="A8" s="1">
        <v>13.8967418696127</v>
      </c>
      <c r="B8" s="1">
        <v>24.7377885983525</v>
      </c>
      <c r="C8" s="1">
        <v>1.07694907656722</v>
      </c>
      <c r="D8" s="1">
        <v>169.170876026154</v>
      </c>
      <c r="E8" s="1">
        <v>5.0</v>
      </c>
      <c r="F8" s="1">
        <v>0.850246222926735</v>
      </c>
      <c r="G8" s="1">
        <v>2.0</v>
      </c>
      <c r="H8" s="1">
        <v>0.902464220791902</v>
      </c>
      <c r="I8" s="1">
        <v>-31.0</v>
      </c>
      <c r="J8" s="1">
        <v>26.0</v>
      </c>
      <c r="K8" s="1">
        <v>-7.0</v>
      </c>
      <c r="L8" s="1">
        <v>113.0</v>
      </c>
      <c r="M8" s="4">
        <f t="shared" si="1"/>
        <v>40.45985665</v>
      </c>
      <c r="N8" s="4">
        <f t="shared" si="2"/>
        <v>25.53650077</v>
      </c>
      <c r="O8" s="4">
        <f t="shared" si="3"/>
        <v>14.92335588</v>
      </c>
      <c r="P8" s="4">
        <f t="shared" si="4"/>
        <v>222.7065506</v>
      </c>
      <c r="Q8" s="5">
        <f t="shared" si="5"/>
        <v>259.9759425</v>
      </c>
      <c r="R8" s="5">
        <f t="shared" si="6"/>
        <v>121.3452614</v>
      </c>
      <c r="S8" s="5">
        <f t="shared" si="7"/>
        <v>138.6306811</v>
      </c>
      <c r="T8" s="5">
        <f t="shared" si="8"/>
        <v>261.541706</v>
      </c>
    </row>
    <row r="9">
      <c r="A9" s="1">
        <v>14.9027279397891</v>
      </c>
      <c r="B9" s="1">
        <v>25.5389132550762</v>
      </c>
      <c r="C9" s="1">
        <v>1.07095256092453</v>
      </c>
      <c r="D9" s="1">
        <v>-113.029006481171</v>
      </c>
      <c r="E9" s="1">
        <v>5.0</v>
      </c>
      <c r="F9" s="1">
        <v>0.888573682689913</v>
      </c>
      <c r="G9" s="1">
        <v>2.0</v>
      </c>
      <c r="H9" s="1">
        <v>0.901623614605299</v>
      </c>
      <c r="I9" s="1">
        <v>-35.0</v>
      </c>
      <c r="J9" s="1">
        <v>31.0</v>
      </c>
      <c r="K9" s="1">
        <v>-7.0</v>
      </c>
      <c r="L9" s="1">
        <v>124.0</v>
      </c>
      <c r="M9" s="4">
        <f t="shared" si="1"/>
        <v>46.75467891</v>
      </c>
      <c r="N9" s="4">
        <f t="shared" si="2"/>
        <v>26.6121248</v>
      </c>
      <c r="O9" s="4">
        <f t="shared" si="3"/>
        <v>20.14255411</v>
      </c>
      <c r="P9" s="4">
        <f t="shared" si="4"/>
        <v>405.7224863</v>
      </c>
      <c r="Q9" s="5">
        <f t="shared" si="5"/>
        <v>263.0653762</v>
      </c>
      <c r="R9" s="5">
        <f t="shared" si="6"/>
        <v>119.4669456</v>
      </c>
      <c r="S9" s="5">
        <f t="shared" si="7"/>
        <v>143.5984306</v>
      </c>
      <c r="T9" s="5">
        <f t="shared" si="8"/>
        <v>259.6633902</v>
      </c>
    </row>
    <row r="10">
      <c r="A10" s="1">
        <v>13.9524599021075</v>
      </c>
      <c r="B10" s="1">
        <v>23.5165977197849</v>
      </c>
      <c r="C10" s="1">
        <v>1.11402135144308</v>
      </c>
      <c r="D10" s="1">
        <v>-76.6709132194519</v>
      </c>
      <c r="E10" s="1">
        <v>6.0</v>
      </c>
      <c r="F10" s="1">
        <v>1.0</v>
      </c>
      <c r="G10" s="1">
        <v>3.0</v>
      </c>
      <c r="H10" s="1">
        <v>0.873789634203701</v>
      </c>
      <c r="I10" s="1">
        <v>-40.0</v>
      </c>
      <c r="J10" s="1">
        <v>35.0</v>
      </c>
      <c r="K10" s="1">
        <v>-1.0</v>
      </c>
      <c r="L10" s="1">
        <v>137.0</v>
      </c>
      <c r="M10" s="4">
        <f t="shared" si="1"/>
        <v>53.15072906</v>
      </c>
      <c r="N10" s="4">
        <f t="shared" si="2"/>
        <v>24.60971799</v>
      </c>
      <c r="O10" s="4">
        <f t="shared" si="3"/>
        <v>28.54101107</v>
      </c>
      <c r="P10" s="4">
        <f t="shared" si="4"/>
        <v>814.5893131</v>
      </c>
      <c r="Q10" s="5">
        <f t="shared" si="5"/>
        <v>262.3734728</v>
      </c>
      <c r="R10" s="5">
        <f t="shared" si="6"/>
        <v>118.6348587</v>
      </c>
      <c r="S10" s="5">
        <f t="shared" si="7"/>
        <v>143.7386142</v>
      </c>
      <c r="T10" s="5">
        <f t="shared" si="8"/>
        <v>258.8313033</v>
      </c>
    </row>
    <row r="11">
      <c r="A11" s="1">
        <v>8.80567023225392</v>
      </c>
      <c r="B11" s="1">
        <v>19.4978008128441</v>
      </c>
      <c r="C11" s="1">
        <v>1.1477081590065</v>
      </c>
      <c r="D11" s="1">
        <v>-107.39042454958</v>
      </c>
      <c r="E11" s="1">
        <v>3.0</v>
      </c>
      <c r="F11" s="1">
        <v>0.956102961827176</v>
      </c>
      <c r="G11" s="1">
        <v>4.0</v>
      </c>
      <c r="H11" s="1">
        <v>0.852085348922194</v>
      </c>
      <c r="I11" s="1">
        <v>-44.0</v>
      </c>
      <c r="J11" s="1">
        <v>40.0</v>
      </c>
      <c r="K11" s="1">
        <v>-7.0</v>
      </c>
      <c r="L11" s="1">
        <v>152.0</v>
      </c>
      <c r="M11" s="4">
        <f t="shared" si="1"/>
        <v>59.46427499</v>
      </c>
      <c r="N11" s="4">
        <f t="shared" si="2"/>
        <v>19.25461743</v>
      </c>
      <c r="O11" s="4">
        <f t="shared" si="3"/>
        <v>40.20965756</v>
      </c>
      <c r="P11" s="4">
        <f t="shared" si="4"/>
        <v>1616.816561</v>
      </c>
      <c r="Q11" s="5">
        <f t="shared" si="5"/>
        <v>264.5488039</v>
      </c>
      <c r="R11" s="5">
        <f t="shared" si="6"/>
        <v>131.3849862</v>
      </c>
      <c r="S11" s="5">
        <f t="shared" si="7"/>
        <v>133.1638178</v>
      </c>
      <c r="T11" s="5">
        <f t="shared" si="8"/>
        <v>271.5814308</v>
      </c>
    </row>
    <row r="12">
      <c r="A12" s="1">
        <v>10.8446617737814</v>
      </c>
      <c r="B12" s="1">
        <v>19.6045196136235</v>
      </c>
      <c r="C12" s="1">
        <v>1.07374965906579</v>
      </c>
      <c r="D12" s="1">
        <v>149.196075558662</v>
      </c>
      <c r="E12" s="1">
        <v>3.0</v>
      </c>
      <c r="F12" s="1">
        <v>0.963290347447455</v>
      </c>
      <c r="G12" s="1">
        <v>4.0</v>
      </c>
      <c r="H12" s="1">
        <v>0.859705244885048</v>
      </c>
      <c r="I12" s="1">
        <v>-49.0</v>
      </c>
      <c r="J12" s="1">
        <v>44.0</v>
      </c>
      <c r="K12" s="1">
        <v>0.0</v>
      </c>
      <c r="L12" s="1">
        <v>161.0</v>
      </c>
      <c r="M12" s="4">
        <f t="shared" si="1"/>
        <v>65.8559033</v>
      </c>
      <c r="N12" s="4">
        <f t="shared" si="2"/>
        <v>20.16369364</v>
      </c>
      <c r="O12" s="4">
        <f t="shared" si="3"/>
        <v>45.69220966</v>
      </c>
      <c r="P12" s="4">
        <f t="shared" si="4"/>
        <v>2087.778024</v>
      </c>
      <c r="Q12" s="5">
        <f t="shared" si="5"/>
        <v>263.8463839</v>
      </c>
      <c r="R12" s="5">
        <f t="shared" si="6"/>
        <v>122.0952868</v>
      </c>
      <c r="S12" s="5">
        <f t="shared" si="7"/>
        <v>141.751097</v>
      </c>
      <c r="T12" s="5">
        <f t="shared" si="8"/>
        <v>262.2917314</v>
      </c>
    </row>
    <row r="13">
      <c r="A13" s="1">
        <v>10.6793377723437</v>
      </c>
      <c r="B13" s="1">
        <v>20.0533097133933</v>
      </c>
      <c r="C13" s="1">
        <v>1.06635132015978</v>
      </c>
      <c r="D13" s="1">
        <v>85.1888428926468</v>
      </c>
      <c r="E13" s="1">
        <v>3.0</v>
      </c>
      <c r="F13" s="1">
        <v>0.954240496971591</v>
      </c>
      <c r="G13" s="1">
        <v>4.0</v>
      </c>
      <c r="H13" s="1">
        <v>0.859664524482912</v>
      </c>
      <c r="I13" s="1">
        <v>-54.0</v>
      </c>
      <c r="J13" s="1">
        <v>48.0</v>
      </c>
      <c r="K13" s="1">
        <v>-1.0</v>
      </c>
      <c r="L13" s="1">
        <v>177.0</v>
      </c>
      <c r="M13" s="4">
        <f t="shared" si="1"/>
        <v>72.24956747</v>
      </c>
      <c r="N13" s="4">
        <f t="shared" si="2"/>
        <v>20.4477046</v>
      </c>
      <c r="O13" s="4">
        <f t="shared" si="3"/>
        <v>51.80186287</v>
      </c>
      <c r="P13" s="4">
        <f t="shared" si="4"/>
        <v>2683.432997</v>
      </c>
      <c r="Q13" s="5">
        <f t="shared" si="5"/>
        <v>263.2682641</v>
      </c>
      <c r="R13" s="5">
        <f t="shared" si="6"/>
        <v>123.920715</v>
      </c>
      <c r="S13" s="5">
        <f t="shared" si="7"/>
        <v>139.347549</v>
      </c>
      <c r="T13" s="5">
        <f t="shared" si="8"/>
        <v>264.1171597</v>
      </c>
    </row>
    <row r="14">
      <c r="A14" s="1">
        <v>10.8157573916471</v>
      </c>
      <c r="B14" s="1">
        <v>20.0732167261559</v>
      </c>
      <c r="C14" s="1">
        <v>1.06929280885989</v>
      </c>
      <c r="D14" s="1">
        <v>-33.3577307462692</v>
      </c>
      <c r="E14" s="1">
        <v>3.0</v>
      </c>
      <c r="F14" s="1">
        <v>0.951903005301305</v>
      </c>
      <c r="G14" s="1">
        <v>4.0</v>
      </c>
      <c r="H14" s="1">
        <v>0.859917819522791</v>
      </c>
      <c r="I14" s="1">
        <v>-59.0</v>
      </c>
      <c r="J14" s="1">
        <v>53.0</v>
      </c>
      <c r="K14" s="1">
        <v>-6.0</v>
      </c>
      <c r="L14" s="1">
        <v>199.0</v>
      </c>
      <c r="M14" s="4">
        <f t="shared" si="1"/>
        <v>79.30952024</v>
      </c>
      <c r="N14" s="4">
        <f t="shared" si="2"/>
        <v>20.52147306</v>
      </c>
      <c r="O14" s="4">
        <f t="shared" si="3"/>
        <v>58.78804718</v>
      </c>
      <c r="P14" s="4">
        <f t="shared" si="4"/>
        <v>3456.034491</v>
      </c>
      <c r="Q14" s="5">
        <f t="shared" si="5"/>
        <v>263.8681039</v>
      </c>
      <c r="R14" s="5">
        <f t="shared" si="6"/>
        <v>123.3626378</v>
      </c>
      <c r="S14" s="5">
        <f t="shared" si="7"/>
        <v>140.5054661</v>
      </c>
      <c r="T14" s="5">
        <f t="shared" si="8"/>
        <v>263.5590824</v>
      </c>
    </row>
    <row r="15">
      <c r="A15" s="1">
        <v>10.6387791197266</v>
      </c>
      <c r="B15" s="1">
        <v>20.1423605878182</v>
      </c>
      <c r="C15" s="1">
        <v>1.07900454665886</v>
      </c>
      <c r="D15" s="1">
        <v>-104.52211368084</v>
      </c>
      <c r="E15" s="1">
        <v>3.0</v>
      </c>
      <c r="F15" s="1">
        <v>0.952500626042229</v>
      </c>
      <c r="G15" s="1">
        <v>4.0</v>
      </c>
      <c r="H15" s="1">
        <v>0.860402350651521</v>
      </c>
      <c r="I15" s="1">
        <v>-63.0</v>
      </c>
      <c r="J15" s="1">
        <v>58.0</v>
      </c>
      <c r="K15" s="1">
        <v>-3.0</v>
      </c>
      <c r="L15" s="1">
        <v>221.0</v>
      </c>
      <c r="M15" s="4">
        <f t="shared" si="1"/>
        <v>85.63293759</v>
      </c>
      <c r="N15" s="4">
        <f t="shared" si="2"/>
        <v>20.50140561</v>
      </c>
      <c r="O15" s="4">
        <f t="shared" si="3"/>
        <v>65.13153198</v>
      </c>
      <c r="P15" s="4">
        <f t="shared" si="4"/>
        <v>4242.116458</v>
      </c>
      <c r="Q15" s="5">
        <f t="shared" si="5"/>
        <v>265.2684885</v>
      </c>
      <c r="R15" s="5">
        <f t="shared" si="6"/>
        <v>124.3113728</v>
      </c>
      <c r="S15" s="5">
        <f t="shared" si="7"/>
        <v>140.9571157</v>
      </c>
      <c r="T15" s="5">
        <f t="shared" si="8"/>
        <v>264.5078174</v>
      </c>
    </row>
    <row r="16">
      <c r="A16" s="1">
        <v>10.4588510946189</v>
      </c>
      <c r="B16" s="1">
        <v>20.2798570710827</v>
      </c>
      <c r="C16" s="1">
        <v>1.08788382785645</v>
      </c>
      <c r="D16" s="1">
        <v>-66.2018011808395</v>
      </c>
      <c r="E16" s="1">
        <v>3.0</v>
      </c>
      <c r="F16" s="1">
        <v>0.950405055988507</v>
      </c>
      <c r="G16" s="1">
        <v>4.0</v>
      </c>
      <c r="H16" s="1">
        <v>0.860387618492587</v>
      </c>
      <c r="I16" s="1">
        <v>-68.0</v>
      </c>
      <c r="J16" s="1">
        <v>63.0</v>
      </c>
      <c r="K16" s="1">
        <v>-3.0</v>
      </c>
      <c r="L16" s="1">
        <v>227.0</v>
      </c>
      <c r="M16" s="4">
        <f t="shared" si="1"/>
        <v>92.6984358</v>
      </c>
      <c r="N16" s="4">
        <f t="shared" si="2"/>
        <v>20.53618117</v>
      </c>
      <c r="O16" s="4">
        <f t="shared" si="3"/>
        <v>72.16225463</v>
      </c>
      <c r="P16" s="4">
        <f t="shared" si="4"/>
        <v>5207.390994</v>
      </c>
      <c r="Q16" s="5">
        <f t="shared" si="5"/>
        <v>265.6293052</v>
      </c>
      <c r="R16" s="5">
        <f t="shared" si="6"/>
        <v>125.4328606</v>
      </c>
      <c r="S16" s="5">
        <f t="shared" si="7"/>
        <v>140.1964446</v>
      </c>
      <c r="T16" s="5">
        <f t="shared" si="8"/>
        <v>265.6293052</v>
      </c>
    </row>
    <row r="17">
      <c r="A17" s="1">
        <v>10.430514591389</v>
      </c>
      <c r="B17" s="1">
        <v>20.0326142070042</v>
      </c>
      <c r="C17" s="1">
        <v>1.06191646103214</v>
      </c>
      <c r="D17" s="1">
        <v>14.7517396211624</v>
      </c>
      <c r="E17" s="1">
        <v>3.0</v>
      </c>
      <c r="F17" s="1">
        <v>0.957342098347274</v>
      </c>
      <c r="G17" s="1">
        <v>4.0</v>
      </c>
      <c r="H17" s="1">
        <v>0.858963606625743</v>
      </c>
      <c r="I17" s="1">
        <v>-72.0</v>
      </c>
      <c r="J17" s="1">
        <v>67.0</v>
      </c>
      <c r="K17" s="1">
        <v>-1.0</v>
      </c>
      <c r="L17" s="1">
        <v>230.0</v>
      </c>
      <c r="M17" s="4">
        <f t="shared" si="1"/>
        <v>98.35141077</v>
      </c>
      <c r="N17" s="4">
        <f t="shared" si="2"/>
        <v>20.3268794</v>
      </c>
      <c r="O17" s="4">
        <f t="shared" si="3"/>
        <v>78.02453137</v>
      </c>
      <c r="P17" s="4">
        <f t="shared" si="4"/>
        <v>6087.827496</v>
      </c>
      <c r="Q17" s="5">
        <f t="shared" si="5"/>
        <v>265.8806309</v>
      </c>
      <c r="R17" s="5">
        <f t="shared" si="6"/>
        <v>124.9856183</v>
      </c>
      <c r="S17" s="5">
        <f t="shared" si="7"/>
        <v>140.8950126</v>
      </c>
      <c r="T17" s="5">
        <f t="shared" si="8"/>
        <v>265.1820629</v>
      </c>
    </row>
    <row r="18">
      <c r="A18" s="1">
        <v>10.5715794433217</v>
      </c>
      <c r="B18" s="1">
        <v>20.1436321147851</v>
      </c>
      <c r="C18" s="1">
        <v>1.06786969040249</v>
      </c>
      <c r="D18" s="1">
        <v>-118.210258364677</v>
      </c>
      <c r="E18" s="1">
        <v>3.0</v>
      </c>
      <c r="F18" s="1">
        <v>0.952941391274227</v>
      </c>
      <c r="G18" s="1">
        <v>4.0</v>
      </c>
      <c r="H18" s="1">
        <v>0.859550991269304</v>
      </c>
      <c r="I18" s="1">
        <v>-77.0</v>
      </c>
      <c r="J18" s="1">
        <v>72.0</v>
      </c>
      <c r="K18" s="1">
        <v>-4.0</v>
      </c>
      <c r="L18" s="1">
        <v>248.0</v>
      </c>
      <c r="M18" s="4">
        <f t="shared" si="1"/>
        <v>105.4182147</v>
      </c>
      <c r="N18" s="4">
        <f t="shared" si="2"/>
        <v>20.47424254</v>
      </c>
      <c r="O18" s="4">
        <f t="shared" si="3"/>
        <v>84.94397221</v>
      </c>
      <c r="P18" s="4">
        <f t="shared" si="4"/>
        <v>7215.478415</v>
      </c>
      <c r="Q18" s="5">
        <f t="shared" si="5"/>
        <v>266.1568821</v>
      </c>
      <c r="R18" s="5">
        <f t="shared" si="6"/>
        <v>124.6136641</v>
      </c>
      <c r="S18" s="5">
        <f t="shared" si="7"/>
        <v>141.5432179</v>
      </c>
      <c r="T18" s="5">
        <f t="shared" si="8"/>
        <v>264.8101087</v>
      </c>
    </row>
    <row r="19">
      <c r="A19" s="1">
        <v>10.9973961119638</v>
      </c>
      <c r="B19" s="1">
        <v>19.8497846665028</v>
      </c>
      <c r="C19" s="1">
        <v>1.08230230625596</v>
      </c>
      <c r="D19" s="1">
        <v>-13.411697268486</v>
      </c>
      <c r="E19" s="1">
        <v>3.0</v>
      </c>
      <c r="F19" s="1">
        <v>0.954765599770946</v>
      </c>
      <c r="G19" s="1">
        <v>4.0</v>
      </c>
      <c r="H19" s="1">
        <v>0.860381084691437</v>
      </c>
      <c r="I19" s="1">
        <v>-81.0</v>
      </c>
      <c r="J19" s="1">
        <v>76.0</v>
      </c>
      <c r="K19" s="1">
        <v>-7.0</v>
      </c>
      <c r="L19" s="1">
        <v>252.0</v>
      </c>
      <c r="M19" s="4">
        <f t="shared" si="1"/>
        <v>111.0720487</v>
      </c>
      <c r="N19" s="4">
        <f t="shared" si="2"/>
        <v>20.42339112</v>
      </c>
      <c r="O19" s="4">
        <f t="shared" si="3"/>
        <v>90.64865757</v>
      </c>
      <c r="P19" s="4">
        <f t="shared" si="4"/>
        <v>8217.179119</v>
      </c>
      <c r="Q19" s="5">
        <f t="shared" si="5"/>
        <v>266.3525727</v>
      </c>
      <c r="R19" s="5">
        <f t="shared" si="6"/>
        <v>122.019959</v>
      </c>
      <c r="S19" s="5">
        <f t="shared" si="7"/>
        <v>144.3326137</v>
      </c>
      <c r="T19" s="5">
        <f t="shared" si="8"/>
        <v>262.2164036</v>
      </c>
    </row>
    <row r="20">
      <c r="A20" s="1">
        <v>10.5105660863728</v>
      </c>
      <c r="B20" s="1">
        <v>20.1856376022391</v>
      </c>
      <c r="C20" s="1">
        <v>1.06948842998282</v>
      </c>
      <c r="D20" s="1">
        <v>-34.6467398405075</v>
      </c>
      <c r="E20" s="1">
        <v>3.0</v>
      </c>
      <c r="F20" s="1">
        <v>0.952336162665221</v>
      </c>
      <c r="G20" s="1">
        <v>4.0</v>
      </c>
      <c r="H20" s="1">
        <v>0.859471342903768</v>
      </c>
      <c r="I20" s="1">
        <v>-86.0</v>
      </c>
      <c r="J20" s="1">
        <v>81.0</v>
      </c>
      <c r="K20" s="1">
        <v>-4.0</v>
      </c>
      <c r="L20" s="1">
        <v>264.0</v>
      </c>
      <c r="M20" s="4">
        <f t="shared" si="1"/>
        <v>118.1397478</v>
      </c>
      <c r="N20" s="4">
        <f t="shared" si="2"/>
        <v>20.48230679</v>
      </c>
      <c r="O20" s="4">
        <f t="shared" si="3"/>
        <v>97.65744096</v>
      </c>
      <c r="P20" s="4">
        <f t="shared" si="4"/>
        <v>9536.975776</v>
      </c>
      <c r="Q20" s="5">
        <f t="shared" si="5"/>
        <v>266.5708457</v>
      </c>
      <c r="R20" s="5">
        <f t="shared" si="6"/>
        <v>124.9839742</v>
      </c>
      <c r="S20" s="5">
        <f t="shared" si="7"/>
        <v>141.5868715</v>
      </c>
      <c r="T20" s="5">
        <f t="shared" si="8"/>
        <v>265.1804188</v>
      </c>
    </row>
    <row r="21">
      <c r="A21" s="1">
        <v>10.4457153309324</v>
      </c>
      <c r="B21" s="1">
        <v>20.0412310064736</v>
      </c>
      <c r="C21" s="1">
        <v>1.06669005868144</v>
      </c>
      <c r="D21" s="1">
        <v>168.414447903633</v>
      </c>
      <c r="E21" s="1">
        <v>3.0</v>
      </c>
      <c r="F21" s="1">
        <v>0.957057030798264</v>
      </c>
      <c r="G21" s="1">
        <v>4.0</v>
      </c>
      <c r="H21" s="1">
        <v>0.859309405809851</v>
      </c>
      <c r="I21" s="1">
        <v>-90.0</v>
      </c>
      <c r="J21" s="1">
        <v>85.0</v>
      </c>
      <c r="K21" s="1">
        <v>-3.0</v>
      </c>
      <c r="L21" s="1">
        <v>267.0</v>
      </c>
      <c r="M21" s="4">
        <f t="shared" si="1"/>
        <v>123.794184</v>
      </c>
      <c r="N21" s="4">
        <f t="shared" si="2"/>
        <v>20.34007783</v>
      </c>
      <c r="O21" s="4">
        <f t="shared" si="3"/>
        <v>103.4541062</v>
      </c>
      <c r="P21" s="4">
        <f t="shared" si="4"/>
        <v>10702.75209</v>
      </c>
      <c r="Q21" s="5">
        <f t="shared" si="5"/>
        <v>266.7275189</v>
      </c>
      <c r="R21" s="5">
        <f t="shared" si="6"/>
        <v>124.9374373</v>
      </c>
      <c r="S21" s="5">
        <f t="shared" si="7"/>
        <v>141.7900815</v>
      </c>
      <c r="T21" s="5">
        <f t="shared" si="8"/>
        <v>265.1338819</v>
      </c>
    </row>
    <row r="22">
      <c r="Q22" s="5"/>
      <c r="S22" s="5">
        <f> MEDIAN(S2:S18)</f>
        <v>140.1964446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</sheetData>
  <drawing r:id="rId1"/>
</worksheet>
</file>