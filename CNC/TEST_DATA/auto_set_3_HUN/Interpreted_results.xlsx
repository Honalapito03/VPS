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<sst xmlns="http://schemas.openxmlformats.org/spreadsheetml/2006/main" count="20" uniqueCount="20">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</sst>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Munkalap1!$M$2:$M$21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Munkalap1!$N$2:$N$21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Munkalap1!$O$2:$O$21</c:f>
              <c:numCache/>
            </c:numRef>
          </c:val>
          <c:smooth val="0"/>
        </c:ser>
        <c:axId val="1651401640"/>
        <c:axId val="749264391"/>
      </c:lineChart>
      <c:catAx>
        <c:axId val="1651401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264391"/>
      </c:catAx>
      <c:valAx>
        <c:axId val="749264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4016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Munkalap1!$Q$2:$Q$22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Munkalap1!$T$2:$T$22</c:f>
              <c:numCache/>
            </c:numRef>
          </c:val>
          <c:smooth val="0"/>
        </c:ser>
        <c:axId val="789749705"/>
        <c:axId val="1545951461"/>
      </c:lineChart>
      <c:catAx>
        <c:axId val="789749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951461"/>
      </c:catAx>
      <c:valAx>
        <c:axId val="1545951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749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Munkalap1!$K$2:$K$22</c:f>
            </c:numRef>
          </c:xVal>
          <c:yVal>
            <c:numRef>
              <c:f>Munkalap1!$C$2:$C$22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864085"/>
        <c:axId val="7042157"/>
      </c:scatterChart>
      <c:valAx>
        <c:axId val="5668640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2157"/>
      </c:valAx>
      <c:valAx>
        <c:axId val="7042157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864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Munkalap1!$D$2:$D$22</c:f>
            </c:numRef>
          </c:xVal>
          <c:yVal>
            <c:numRef>
              <c:f>Munkalap1!$L$2:$L$22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05504"/>
        <c:axId val="1944059750"/>
      </c:scatterChart>
      <c:valAx>
        <c:axId val="8769055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059750"/>
      </c:valAx>
      <c:valAx>
        <c:axId val="1944059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905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22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114300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40</xdr:row>
      <xdr:rowOff>114300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-9.00000035762787</v>
      </c>
      <c r="B2" s="1">
        <v>-1.18749998509884</v>
      </c>
      <c r="C2" s="1">
        <v>1.10488295555115</v>
      </c>
      <c r="D2" s="1">
        <v>25.5</v>
      </c>
      <c r="E2" s="1">
        <v>1.0</v>
      </c>
      <c r="F2" s="1">
        <v>1.0</v>
      </c>
      <c r="G2" s="1">
        <v>1.0</v>
      </c>
      <c r="H2" s="1">
        <v>0.712477937452868</v>
      </c>
      <c r="I2" s="1">
        <v>-2.0</v>
      </c>
      <c r="J2" s="1">
        <v>-7.0</v>
      </c>
      <c r="K2" s="1">
        <v>-5.0</v>
      </c>
      <c r="L2" s="1">
        <v>27.0</v>
      </c>
      <c r="M2" s="4">
        <f t="shared" ref="M2:M21" si="1">SQRT(I2*I2 + J2*J2)</f>
        <v>7.280109889</v>
      </c>
      <c r="N2" s="4">
        <f t="shared" ref="N2:N21" si="2">SQRT(A2*A2 + B2*B2) * 0.9</f>
        <v>8.170203899</v>
      </c>
      <c r="O2" s="4">
        <f t="shared" ref="O2:O21" si="3"> (M2 - N2)</f>
        <v>-0.8900940095</v>
      </c>
      <c r="P2" s="4">
        <f t="shared" ref="P2:P21" si="4"> O2 * O2</f>
        <v>0.7922673458</v>
      </c>
      <c r="Q2" s="5">
        <f t="shared" ref="Q2:Q21" si="5">MOD(ATAN(I2 / (J2 + 0.001)) / PI() * 360, 360)</f>
        <v>31.89511658</v>
      </c>
      <c r="R2" s="5">
        <f t="shared" ref="R2:R21" si="6">MOD(ATAN(B2 / (A2 + 0.001)) / PI() * 360, 360)</f>
        <v>15.03453406</v>
      </c>
      <c r="S2" s="5">
        <f t="shared" ref="S2:S21" si="7">Q2 - R2</f>
        <v>16.86058252</v>
      </c>
      <c r="T2" s="5">
        <f t="shared" ref="T2:T21" si="8"> R2 + S$22</f>
        <v>-214.9536823</v>
      </c>
    </row>
    <row r="3">
      <c r="A3" s="1">
        <v>-15.8528484172496</v>
      </c>
      <c r="B3" s="1">
        <v>1.74841479577742</v>
      </c>
      <c r="C3" s="1">
        <v>1.08306145237655</v>
      </c>
      <c r="D3" s="1">
        <v>35.4999847412109</v>
      </c>
      <c r="E3" s="1">
        <v>2.0</v>
      </c>
      <c r="F3" s="1">
        <v>1.0</v>
      </c>
      <c r="G3" s="1">
        <v>1.0</v>
      </c>
      <c r="H3" s="1">
        <v>0.772837775384401</v>
      </c>
      <c r="I3" s="1">
        <v>-6.0</v>
      </c>
      <c r="J3" s="1">
        <v>-12.0</v>
      </c>
      <c r="K3" s="1">
        <v>-4.0</v>
      </c>
      <c r="L3" s="1">
        <v>38.0</v>
      </c>
      <c r="M3" s="4">
        <f t="shared" si="1"/>
        <v>13.41640786</v>
      </c>
      <c r="N3" s="4">
        <f t="shared" si="2"/>
        <v>14.35407619</v>
      </c>
      <c r="O3" s="4">
        <f t="shared" si="3"/>
        <v>-0.9376683283</v>
      </c>
      <c r="P3" s="4">
        <f t="shared" si="4"/>
        <v>0.8792218939</v>
      </c>
      <c r="Q3" s="5">
        <f t="shared" si="5"/>
        <v>53.13392233</v>
      </c>
      <c r="R3" s="5">
        <f t="shared" si="6"/>
        <v>347.4117525</v>
      </c>
      <c r="S3" s="5">
        <f t="shared" si="7"/>
        <v>-294.2778302</v>
      </c>
      <c r="T3" s="5">
        <f t="shared" si="8"/>
        <v>117.4235361</v>
      </c>
    </row>
    <row r="4">
      <c r="A4" s="1">
        <v>-23.135768406311</v>
      </c>
      <c r="B4" s="1">
        <v>5.20126161107802</v>
      </c>
      <c r="C4" s="1">
        <v>1.0355277580021</v>
      </c>
      <c r="D4" s="1">
        <v>59.4513244628906</v>
      </c>
      <c r="E4" s="1">
        <v>3.0</v>
      </c>
      <c r="F4" s="1">
        <v>1.0</v>
      </c>
      <c r="G4" s="1">
        <v>1.0</v>
      </c>
      <c r="H4" s="1">
        <v>0.746373124989187</v>
      </c>
      <c r="I4" s="1">
        <v>-11.0</v>
      </c>
      <c r="J4" s="1">
        <v>-16.0</v>
      </c>
      <c r="K4" s="1">
        <v>-2.0</v>
      </c>
      <c r="L4" s="1">
        <v>63.0</v>
      </c>
      <c r="M4" s="4">
        <f t="shared" si="1"/>
        <v>19.41648784</v>
      </c>
      <c r="N4" s="4">
        <f t="shared" si="2"/>
        <v>21.34189988</v>
      </c>
      <c r="O4" s="4">
        <f t="shared" si="3"/>
        <v>-1.925412046</v>
      </c>
      <c r="P4" s="4">
        <f t="shared" si="4"/>
        <v>3.707211547</v>
      </c>
      <c r="Q4" s="5">
        <f t="shared" si="5"/>
        <v>69.02038964</v>
      </c>
      <c r="R4" s="5">
        <f t="shared" si="6"/>
        <v>334.6583808</v>
      </c>
      <c r="S4" s="5">
        <f t="shared" si="7"/>
        <v>-265.6379912</v>
      </c>
      <c r="T4" s="5">
        <f t="shared" si="8"/>
        <v>104.6701644</v>
      </c>
    </row>
    <row r="5">
      <c r="A5" s="1">
        <v>-30.2483087239981</v>
      </c>
      <c r="B5" s="1">
        <v>6.80592373313068</v>
      </c>
      <c r="C5" s="1">
        <v>1.0921031260082</v>
      </c>
      <c r="D5" s="1">
        <v>82.9512786865234</v>
      </c>
      <c r="E5" s="1">
        <v>4.0</v>
      </c>
      <c r="F5" s="1">
        <v>1.0</v>
      </c>
      <c r="G5" s="1">
        <v>1.0</v>
      </c>
      <c r="H5" s="1">
        <v>0.771535939686704</v>
      </c>
      <c r="I5" s="1">
        <v>-15.0</v>
      </c>
      <c r="J5" s="1">
        <v>-21.0</v>
      </c>
      <c r="K5" s="1">
        <v>-4.0</v>
      </c>
      <c r="L5" s="1">
        <v>87.0</v>
      </c>
      <c r="M5" s="4">
        <f t="shared" si="1"/>
        <v>25.8069758</v>
      </c>
      <c r="N5" s="4">
        <f t="shared" si="2"/>
        <v>27.90407552</v>
      </c>
      <c r="O5" s="4">
        <f t="shared" si="3"/>
        <v>-2.097099718</v>
      </c>
      <c r="P5" s="4">
        <f t="shared" si="4"/>
        <v>4.397827229</v>
      </c>
      <c r="Q5" s="5">
        <f t="shared" si="5"/>
        <v>71.07793656</v>
      </c>
      <c r="R5" s="5">
        <f t="shared" si="6"/>
        <v>334.638226</v>
      </c>
      <c r="S5" s="5">
        <f t="shared" si="7"/>
        <v>-263.5602894</v>
      </c>
      <c r="T5" s="5">
        <f t="shared" si="8"/>
        <v>104.6500096</v>
      </c>
    </row>
    <row r="6">
      <c r="A6" s="1">
        <v>-35.6305451612159</v>
      </c>
      <c r="B6" s="1">
        <v>8.04807403690433</v>
      </c>
      <c r="C6" s="1">
        <v>1.11410699242349</v>
      </c>
      <c r="D6" s="1">
        <v>110.951280593872</v>
      </c>
      <c r="E6" s="1">
        <v>5.0</v>
      </c>
      <c r="F6" s="1">
        <v>1.0</v>
      </c>
      <c r="G6" s="1">
        <v>1.0</v>
      </c>
      <c r="H6" s="1">
        <v>0.833085916378674</v>
      </c>
      <c r="I6" s="1">
        <v>-19.0</v>
      </c>
      <c r="J6" s="1">
        <v>-25.0</v>
      </c>
      <c r="K6" s="1">
        <v>-5.0</v>
      </c>
      <c r="L6" s="1">
        <v>117.0</v>
      </c>
      <c r="M6" s="4">
        <f t="shared" si="1"/>
        <v>31.40063694</v>
      </c>
      <c r="N6" s="4">
        <f t="shared" si="2"/>
        <v>32.8753535</v>
      </c>
      <c r="O6" s="4">
        <f t="shared" si="3"/>
        <v>-1.474716564</v>
      </c>
      <c r="P6" s="4">
        <f t="shared" si="4"/>
        <v>2.174788945</v>
      </c>
      <c r="Q6" s="5">
        <f t="shared" si="5"/>
        <v>74.47187617</v>
      </c>
      <c r="R6" s="5">
        <f t="shared" si="6"/>
        <v>334.5430481</v>
      </c>
      <c r="S6" s="5">
        <f t="shared" si="7"/>
        <v>-260.071172</v>
      </c>
      <c r="T6" s="5">
        <f t="shared" si="8"/>
        <v>104.5548317</v>
      </c>
    </row>
    <row r="7">
      <c r="A7" s="1">
        <v>-41.3283154898227</v>
      </c>
      <c r="B7" s="1">
        <v>11.6332108382649</v>
      </c>
      <c r="C7" s="1">
        <v>1.09210311476182</v>
      </c>
      <c r="D7" s="1">
        <v>127.451280593872</v>
      </c>
      <c r="E7" s="1">
        <v>6.0</v>
      </c>
      <c r="F7" s="1">
        <v>1.0</v>
      </c>
      <c r="G7" s="1">
        <v>1.0</v>
      </c>
      <c r="H7" s="1">
        <v>0.796578784582556</v>
      </c>
      <c r="I7" s="1">
        <v>-24.0</v>
      </c>
      <c r="J7" s="1">
        <v>-30.0</v>
      </c>
      <c r="K7" s="1">
        <v>-4.0</v>
      </c>
      <c r="L7" s="1">
        <v>134.0</v>
      </c>
      <c r="M7" s="4">
        <f t="shared" si="1"/>
        <v>38.41874542</v>
      </c>
      <c r="N7" s="4">
        <f t="shared" si="2"/>
        <v>38.64094483</v>
      </c>
      <c r="O7" s="4">
        <f t="shared" si="3"/>
        <v>-0.2221994016</v>
      </c>
      <c r="P7" s="4">
        <f t="shared" si="4"/>
        <v>0.04937257408</v>
      </c>
      <c r="Q7" s="5">
        <f t="shared" si="5"/>
        <v>77.32147982</v>
      </c>
      <c r="R7" s="5">
        <f t="shared" si="6"/>
        <v>328.557279</v>
      </c>
      <c r="S7" s="5">
        <f t="shared" si="7"/>
        <v>-251.2357992</v>
      </c>
      <c r="T7" s="5">
        <f t="shared" si="8"/>
        <v>98.5690626</v>
      </c>
    </row>
    <row r="8">
      <c r="A8" s="1">
        <v>-47.6396653232436</v>
      </c>
      <c r="B8" s="1">
        <v>15.449494899132</v>
      </c>
      <c r="C8" s="1">
        <v>1.0016658772718</v>
      </c>
      <c r="D8" s="1">
        <v>137.951280593872</v>
      </c>
      <c r="E8" s="1">
        <v>7.0</v>
      </c>
      <c r="F8" s="1">
        <v>1.0</v>
      </c>
      <c r="G8" s="1">
        <v>1.0</v>
      </c>
      <c r="H8" s="1">
        <v>0.76516215123211</v>
      </c>
      <c r="I8" s="1">
        <v>-29.0</v>
      </c>
      <c r="J8" s="1">
        <v>-35.0</v>
      </c>
      <c r="K8" s="1">
        <v>0.0</v>
      </c>
      <c r="L8" s="1">
        <v>145.0</v>
      </c>
      <c r="M8" s="4">
        <f t="shared" si="1"/>
        <v>45.45327271</v>
      </c>
      <c r="N8" s="4">
        <f t="shared" si="2"/>
        <v>45.07396066</v>
      </c>
      <c r="O8" s="4">
        <f t="shared" si="3"/>
        <v>0.3793120465</v>
      </c>
      <c r="P8" s="4">
        <f t="shared" si="4"/>
        <v>0.1438776286</v>
      </c>
      <c r="Q8" s="5">
        <f t="shared" si="5"/>
        <v>79.28995844</v>
      </c>
      <c r="R8" s="5">
        <f t="shared" si="6"/>
        <v>324.0636425</v>
      </c>
      <c r="S8" s="5">
        <f t="shared" si="7"/>
        <v>-244.773684</v>
      </c>
      <c r="T8" s="5">
        <f t="shared" si="8"/>
        <v>94.07542607</v>
      </c>
    </row>
    <row r="9">
      <c r="A9" s="1">
        <v>-53.8638250080415</v>
      </c>
      <c r="B9" s="1">
        <v>19.6348929148702</v>
      </c>
      <c r="C9" s="1">
        <v>1.09207232778154</v>
      </c>
      <c r="D9" s="1">
        <v>144.954423904419</v>
      </c>
      <c r="E9" s="1">
        <v>8.0</v>
      </c>
      <c r="F9" s="1">
        <v>1.0</v>
      </c>
      <c r="G9" s="1">
        <v>1.0</v>
      </c>
      <c r="H9" s="1">
        <v>0.761176296920704</v>
      </c>
      <c r="I9" s="1">
        <v>-34.0</v>
      </c>
      <c r="J9" s="1">
        <v>-40.0</v>
      </c>
      <c r="K9" s="1">
        <v>-4.0</v>
      </c>
      <c r="L9" s="1">
        <v>153.0</v>
      </c>
      <c r="M9" s="4">
        <f t="shared" si="1"/>
        <v>52.49761899</v>
      </c>
      <c r="N9" s="4">
        <f t="shared" si="2"/>
        <v>51.59787726</v>
      </c>
      <c r="O9" s="4">
        <f t="shared" si="3"/>
        <v>0.8997417305</v>
      </c>
      <c r="P9" s="4">
        <f t="shared" si="4"/>
        <v>0.8095351816</v>
      </c>
      <c r="Q9" s="5">
        <f t="shared" si="5"/>
        <v>80.73048685</v>
      </c>
      <c r="R9" s="5">
        <f t="shared" si="6"/>
        <v>319.9428485</v>
      </c>
      <c r="S9" s="5">
        <f t="shared" si="7"/>
        <v>-239.2123616</v>
      </c>
      <c r="T9" s="5">
        <f t="shared" si="8"/>
        <v>89.95463206</v>
      </c>
    </row>
    <row r="10">
      <c r="A10" s="1">
        <v>-57.5213961342355</v>
      </c>
      <c r="B10" s="1">
        <v>24.0877161558436</v>
      </c>
      <c r="C10" s="1">
        <v>1.00163763976639</v>
      </c>
      <c r="D10" s="1">
        <v>167.954425811768</v>
      </c>
      <c r="E10" s="1">
        <v>9.0</v>
      </c>
      <c r="F10" s="1">
        <v>1.0</v>
      </c>
      <c r="G10" s="1">
        <v>1.0</v>
      </c>
      <c r="H10" s="1">
        <v>0.816516515261186</v>
      </c>
      <c r="I10" s="1">
        <v>-39.0</v>
      </c>
      <c r="J10" s="1">
        <v>-44.0</v>
      </c>
      <c r="K10" s="1">
        <v>0.0</v>
      </c>
      <c r="L10" s="1">
        <v>177.0</v>
      </c>
      <c r="M10" s="4">
        <f t="shared" si="1"/>
        <v>58.79625838</v>
      </c>
      <c r="N10" s="4">
        <f t="shared" si="2"/>
        <v>56.12515084</v>
      </c>
      <c r="O10" s="4">
        <f t="shared" si="3"/>
        <v>2.671107542</v>
      </c>
      <c r="P10" s="4">
        <f t="shared" si="4"/>
        <v>7.1348155</v>
      </c>
      <c r="Q10" s="5">
        <f t="shared" si="5"/>
        <v>83.10651907</v>
      </c>
      <c r="R10" s="5">
        <f t="shared" si="6"/>
        <v>314.5552235</v>
      </c>
      <c r="S10" s="5">
        <f t="shared" si="7"/>
        <v>-231.4487044</v>
      </c>
      <c r="T10" s="5">
        <f t="shared" si="8"/>
        <v>84.56700712</v>
      </c>
    </row>
    <row r="11">
      <c r="A11" s="1">
        <v>-61.7774984873545</v>
      </c>
      <c r="B11" s="1">
        <v>27.1652068651663</v>
      </c>
      <c r="C11" s="1">
        <v>1.11407561437575</v>
      </c>
      <c r="D11" s="1">
        <v>183.454441070557</v>
      </c>
      <c r="E11" s="1">
        <v>10.0</v>
      </c>
      <c r="F11" s="1">
        <v>1.0</v>
      </c>
      <c r="G11" s="1">
        <v>1.0</v>
      </c>
      <c r="H11" s="1">
        <v>0.834502577962233</v>
      </c>
      <c r="I11" s="1">
        <v>-43.0</v>
      </c>
      <c r="J11" s="1">
        <v>-49.0</v>
      </c>
      <c r="K11" s="1">
        <v>-5.0</v>
      </c>
      <c r="L11" s="1">
        <v>193.0</v>
      </c>
      <c r="M11" s="4">
        <f t="shared" si="1"/>
        <v>65.19202405</v>
      </c>
      <c r="N11" s="4">
        <f t="shared" si="2"/>
        <v>60.73771731</v>
      </c>
      <c r="O11" s="4">
        <f t="shared" si="3"/>
        <v>4.454306738</v>
      </c>
      <c r="P11" s="4">
        <f t="shared" si="4"/>
        <v>19.84084851</v>
      </c>
      <c r="Q11" s="5">
        <f t="shared" si="5"/>
        <v>82.53836541</v>
      </c>
      <c r="R11" s="5">
        <f t="shared" si="6"/>
        <v>312.5265818</v>
      </c>
      <c r="S11" s="5">
        <f t="shared" si="7"/>
        <v>-229.9882164</v>
      </c>
      <c r="T11" s="5">
        <f t="shared" si="8"/>
        <v>82.53836541</v>
      </c>
    </row>
    <row r="12">
      <c r="A12" s="1">
        <v>-66.2985093011504</v>
      </c>
      <c r="B12" s="1">
        <v>32.2315300788246</v>
      </c>
      <c r="C12" s="1">
        <v>1.10669685927158</v>
      </c>
      <c r="D12" s="1">
        <v>209.954441070557</v>
      </c>
      <c r="E12" s="1">
        <v>11.0</v>
      </c>
      <c r="F12" s="1">
        <v>1.0</v>
      </c>
      <c r="G12" s="1">
        <v>1.0</v>
      </c>
      <c r="H12" s="1">
        <v>0.796160236396136</v>
      </c>
      <c r="I12" s="1">
        <v>-48.0</v>
      </c>
      <c r="J12" s="1">
        <v>-54.0</v>
      </c>
      <c r="K12" s="1">
        <v>-5.0</v>
      </c>
      <c r="L12" s="1">
        <v>219.0</v>
      </c>
      <c r="M12" s="4">
        <f t="shared" si="1"/>
        <v>72.24956747</v>
      </c>
      <c r="N12" s="4">
        <f t="shared" si="2"/>
        <v>66.34632418</v>
      </c>
      <c r="O12" s="4">
        <f t="shared" si="3"/>
        <v>5.903243294</v>
      </c>
      <c r="P12" s="4">
        <f t="shared" si="4"/>
        <v>34.84828138</v>
      </c>
      <c r="Q12" s="5">
        <f t="shared" si="5"/>
        <v>83.2681324</v>
      </c>
      <c r="R12" s="5">
        <f t="shared" si="6"/>
        <v>308.1452001</v>
      </c>
      <c r="S12" s="5">
        <f t="shared" si="7"/>
        <v>-224.8770677</v>
      </c>
      <c r="T12" s="5">
        <f t="shared" si="8"/>
        <v>78.15698374</v>
      </c>
    </row>
    <row r="13">
      <c r="A13" s="1">
        <v>-70.9884992271761</v>
      </c>
      <c r="B13" s="1">
        <v>37.0897371401871</v>
      </c>
      <c r="C13" s="1">
        <v>1.04936519860199</v>
      </c>
      <c r="D13" s="1">
        <v>227.454441070557</v>
      </c>
      <c r="E13" s="1">
        <v>12.0</v>
      </c>
      <c r="F13" s="1">
        <v>1.0</v>
      </c>
      <c r="G13" s="1">
        <v>1.0</v>
      </c>
      <c r="H13" s="1">
        <v>0.791204446965991</v>
      </c>
      <c r="I13" s="1">
        <v>-53.0</v>
      </c>
      <c r="J13" s="1">
        <v>-58.0</v>
      </c>
      <c r="K13" s="1">
        <v>-3.0</v>
      </c>
      <c r="L13" s="1">
        <v>238.0</v>
      </c>
      <c r="M13" s="4">
        <f t="shared" si="1"/>
        <v>78.5684415</v>
      </c>
      <c r="N13" s="4">
        <f t="shared" si="2"/>
        <v>72.0844134</v>
      </c>
      <c r="O13" s="4">
        <f t="shared" si="3"/>
        <v>6.484028102</v>
      </c>
      <c r="P13" s="4">
        <f t="shared" si="4"/>
        <v>42.04262043</v>
      </c>
      <c r="Q13" s="5">
        <f t="shared" si="5"/>
        <v>84.84268887</v>
      </c>
      <c r="R13" s="5">
        <f t="shared" si="6"/>
        <v>304.8274259</v>
      </c>
      <c r="S13" s="5">
        <f t="shared" si="7"/>
        <v>-219.984737</v>
      </c>
      <c r="T13" s="5">
        <f t="shared" si="8"/>
        <v>74.83920951</v>
      </c>
    </row>
    <row r="14">
      <c r="A14" s="1">
        <v>-76.5841026210538</v>
      </c>
      <c r="B14" s="1">
        <v>40.770191114432</v>
      </c>
      <c r="C14" s="1">
        <v>1.02182317250436</v>
      </c>
      <c r="D14" s="1">
        <v>242.954425811768</v>
      </c>
      <c r="E14" s="1">
        <v>13.0</v>
      </c>
      <c r="F14" s="1">
        <v>1.0</v>
      </c>
      <c r="G14" s="1">
        <v>1.0</v>
      </c>
      <c r="H14" s="1">
        <v>0.784423247696583</v>
      </c>
      <c r="I14" s="1">
        <v>-57.0</v>
      </c>
      <c r="J14" s="1">
        <v>-63.0</v>
      </c>
      <c r="K14" s="1">
        <v>-2.0</v>
      </c>
      <c r="L14" s="1">
        <v>255.0</v>
      </c>
      <c r="M14" s="4">
        <f t="shared" si="1"/>
        <v>84.95881355</v>
      </c>
      <c r="N14" s="4">
        <f t="shared" si="2"/>
        <v>78.08418495</v>
      </c>
      <c r="O14" s="4">
        <f t="shared" si="3"/>
        <v>6.874628604</v>
      </c>
      <c r="P14" s="4">
        <f t="shared" si="4"/>
        <v>47.26051845</v>
      </c>
      <c r="Q14" s="5">
        <f t="shared" si="5"/>
        <v>84.27609448</v>
      </c>
      <c r="R14" s="5">
        <f t="shared" si="6"/>
        <v>303.9414183</v>
      </c>
      <c r="S14" s="5">
        <f t="shared" si="7"/>
        <v>-219.6653238</v>
      </c>
      <c r="T14" s="5">
        <f t="shared" si="8"/>
        <v>73.95320193</v>
      </c>
    </row>
    <row r="15">
      <c r="A15" s="1">
        <v>-83.5117400554171</v>
      </c>
      <c r="B15" s="1">
        <v>46.5712144488577</v>
      </c>
      <c r="C15" s="1">
        <v>1.10669729368225</v>
      </c>
      <c r="D15" s="1">
        <v>263.954410552979</v>
      </c>
      <c r="E15" s="1">
        <v>14.0</v>
      </c>
      <c r="F15" s="1">
        <v>1.0</v>
      </c>
      <c r="G15" s="1">
        <v>1.0</v>
      </c>
      <c r="H15" s="1">
        <v>0.716995635615201</v>
      </c>
      <c r="I15" s="1">
        <v>-62.0</v>
      </c>
      <c r="J15" s="1">
        <v>-67.0</v>
      </c>
      <c r="K15" s="1">
        <v>-6.0</v>
      </c>
      <c r="L15" s="1">
        <v>277.0</v>
      </c>
      <c r="M15" s="4">
        <f t="shared" si="1"/>
        <v>91.28526716</v>
      </c>
      <c r="N15" s="4">
        <f t="shared" si="2"/>
        <v>86.05754982</v>
      </c>
      <c r="O15" s="4">
        <f t="shared" si="3"/>
        <v>5.227717336</v>
      </c>
      <c r="P15" s="4">
        <f t="shared" si="4"/>
        <v>27.32902854</v>
      </c>
      <c r="Q15" s="5">
        <f t="shared" si="5"/>
        <v>85.5615415</v>
      </c>
      <c r="R15" s="5">
        <f t="shared" si="6"/>
        <v>301.7060364</v>
      </c>
      <c r="S15" s="5">
        <f t="shared" si="7"/>
        <v>-216.1444949</v>
      </c>
      <c r="T15" s="5">
        <f t="shared" si="8"/>
        <v>71.71781999</v>
      </c>
    </row>
    <row r="16">
      <c r="A16" s="1">
        <v>-89.3913011397244</v>
      </c>
      <c r="B16" s="1">
        <v>51.1124342295768</v>
      </c>
      <c r="C16" s="1">
        <v>1.09207696643775</v>
      </c>
      <c r="D16" s="1">
        <v>278.454425811768</v>
      </c>
      <c r="E16" s="1">
        <v>15.0</v>
      </c>
      <c r="F16" s="1">
        <v>1.0</v>
      </c>
      <c r="G16" s="1">
        <v>1.0</v>
      </c>
      <c r="H16" s="1">
        <v>0.774749465216535</v>
      </c>
      <c r="I16" s="1">
        <v>-66.0</v>
      </c>
      <c r="J16" s="1">
        <v>-71.0</v>
      </c>
      <c r="K16" s="1">
        <v>-5.0</v>
      </c>
      <c r="L16" s="1">
        <v>292.0</v>
      </c>
      <c r="M16" s="4">
        <f t="shared" si="1"/>
        <v>96.9381246</v>
      </c>
      <c r="N16" s="4">
        <f t="shared" si="2"/>
        <v>92.67503104</v>
      </c>
      <c r="O16" s="4">
        <f t="shared" si="3"/>
        <v>4.263093554</v>
      </c>
      <c r="P16" s="4">
        <f t="shared" si="4"/>
        <v>18.17396665</v>
      </c>
      <c r="Q16" s="5">
        <f t="shared" si="5"/>
        <v>85.82048653</v>
      </c>
      <c r="R16" s="5">
        <f t="shared" si="6"/>
        <v>300.479065</v>
      </c>
      <c r="S16" s="5">
        <f t="shared" si="7"/>
        <v>-214.6585784</v>
      </c>
      <c r="T16" s="5">
        <f t="shared" si="8"/>
        <v>70.49084857</v>
      </c>
    </row>
    <row r="17">
      <c r="A17" s="1">
        <v>-89.9721277947809</v>
      </c>
      <c r="B17" s="1">
        <v>56.5771512924221</v>
      </c>
      <c r="C17" s="1">
        <v>1.06262160123808</v>
      </c>
      <c r="D17" s="1">
        <v>280.890567779541</v>
      </c>
      <c r="E17" s="1">
        <v>16.0</v>
      </c>
      <c r="F17" s="1">
        <v>1.0</v>
      </c>
      <c r="G17" s="1">
        <v>1.0</v>
      </c>
      <c r="H17" s="1">
        <v>0.829968561773185</v>
      </c>
      <c r="I17" s="1">
        <v>-71.0</v>
      </c>
      <c r="J17" s="1">
        <v>-76.0</v>
      </c>
      <c r="K17" s="1">
        <v>-4.0</v>
      </c>
      <c r="L17" s="1">
        <v>294.0</v>
      </c>
      <c r="M17" s="4">
        <f t="shared" si="1"/>
        <v>104.0048076</v>
      </c>
      <c r="N17" s="4">
        <f t="shared" si="2"/>
        <v>95.65419929</v>
      </c>
      <c r="O17" s="4">
        <f t="shared" si="3"/>
        <v>8.350608296</v>
      </c>
      <c r="P17" s="4">
        <f t="shared" si="4"/>
        <v>69.73265891</v>
      </c>
      <c r="Q17" s="5">
        <f t="shared" si="5"/>
        <v>86.10458214</v>
      </c>
      <c r="R17" s="5">
        <f t="shared" si="6"/>
        <v>295.6736195</v>
      </c>
      <c r="S17" s="5">
        <f t="shared" si="7"/>
        <v>-209.5690374</v>
      </c>
      <c r="T17" s="5">
        <f t="shared" si="8"/>
        <v>65.6854031</v>
      </c>
    </row>
    <row r="18">
      <c r="A18" s="1">
        <v>-91.9142057916522</v>
      </c>
      <c r="B18" s="1">
        <v>62.3128414603235</v>
      </c>
      <c r="C18" s="1">
        <v>1.06971080546502</v>
      </c>
      <c r="D18" s="1">
        <v>300.890567779541</v>
      </c>
      <c r="E18" s="1">
        <v>17.0</v>
      </c>
      <c r="F18" s="1">
        <v>1.0</v>
      </c>
      <c r="G18" s="1">
        <v>1.0</v>
      </c>
      <c r="H18" s="1">
        <v>0.810674917157104</v>
      </c>
      <c r="I18" s="1">
        <v>-76.0</v>
      </c>
      <c r="J18" s="1">
        <v>-81.0</v>
      </c>
      <c r="K18" s="1">
        <v>-5.0</v>
      </c>
      <c r="L18" s="1">
        <v>314.0</v>
      </c>
      <c r="M18" s="4">
        <f t="shared" si="1"/>
        <v>111.0720487</v>
      </c>
      <c r="N18" s="4">
        <f t="shared" si="2"/>
        <v>99.94098391</v>
      </c>
      <c r="O18" s="4">
        <f t="shared" si="3"/>
        <v>11.13106478</v>
      </c>
      <c r="P18" s="4">
        <f t="shared" si="4"/>
        <v>123.9006032</v>
      </c>
      <c r="Q18" s="5">
        <f t="shared" si="5"/>
        <v>86.35252626</v>
      </c>
      <c r="R18" s="5">
        <f t="shared" si="6"/>
        <v>291.7291417</v>
      </c>
      <c r="S18" s="5">
        <f t="shared" si="7"/>
        <v>-205.3766155</v>
      </c>
      <c r="T18" s="5">
        <f t="shared" si="8"/>
        <v>61.74092532</v>
      </c>
    </row>
    <row r="19">
      <c r="A19" s="1">
        <v>-101.237309267404</v>
      </c>
      <c r="B19" s="1">
        <v>66.7436350760082</v>
      </c>
      <c r="C19" s="1">
        <v>0.987779867908482</v>
      </c>
      <c r="D19" s="1">
        <v>323.390552520752</v>
      </c>
      <c r="E19" s="1">
        <v>18.0</v>
      </c>
      <c r="F19" s="1">
        <v>1.0</v>
      </c>
      <c r="G19" s="1">
        <v>0.0</v>
      </c>
      <c r="H19" s="1">
        <v>0.0</v>
      </c>
      <c r="I19" s="1">
        <v>-81.0</v>
      </c>
      <c r="J19" s="1">
        <v>-86.0</v>
      </c>
      <c r="K19" s="1">
        <v>-2.0</v>
      </c>
      <c r="L19" s="1">
        <v>334.0</v>
      </c>
      <c r="M19" s="4">
        <f t="shared" si="1"/>
        <v>118.1397478</v>
      </c>
      <c r="N19" s="4">
        <f t="shared" si="2"/>
        <v>109.1329535</v>
      </c>
      <c r="O19" s="4">
        <f t="shared" si="3"/>
        <v>9.006794233</v>
      </c>
      <c r="P19" s="4">
        <f t="shared" si="4"/>
        <v>81.12234235</v>
      </c>
      <c r="Q19" s="5">
        <f t="shared" si="5"/>
        <v>86.57080465</v>
      </c>
      <c r="R19" s="5">
        <f t="shared" si="6"/>
        <v>293.2074253</v>
      </c>
      <c r="S19" s="5">
        <f t="shared" si="7"/>
        <v>-206.6366207</v>
      </c>
      <c r="T19" s="5">
        <f t="shared" si="8"/>
        <v>63.21920895</v>
      </c>
    </row>
    <row r="20">
      <c r="A20" s="1">
        <v>-101.628996876892</v>
      </c>
      <c r="B20" s="1">
        <v>66.994014841044</v>
      </c>
      <c r="C20" s="1">
        <v>0.987359020343796</v>
      </c>
      <c r="D20" s="1">
        <v>308.216220855713</v>
      </c>
      <c r="E20" s="1">
        <v>18.0</v>
      </c>
      <c r="F20" s="1">
        <v>0.984309104171707</v>
      </c>
      <c r="G20" s="1">
        <v>1.0</v>
      </c>
      <c r="H20" s="1">
        <v>0.984309104171707</v>
      </c>
      <c r="I20" s="1">
        <v>-85.0</v>
      </c>
      <c r="J20" s="1">
        <v>-91.0</v>
      </c>
      <c r="K20" s="1">
        <v>-3.0</v>
      </c>
      <c r="L20" s="1">
        <v>2.0</v>
      </c>
      <c r="M20" s="4">
        <f t="shared" si="1"/>
        <v>124.5230902</v>
      </c>
      <c r="N20" s="4">
        <f t="shared" si="2"/>
        <v>109.5513</v>
      </c>
      <c r="O20" s="4">
        <f t="shared" si="3"/>
        <v>14.97179021</v>
      </c>
      <c r="P20" s="4">
        <f t="shared" si="4"/>
        <v>224.1545022</v>
      </c>
      <c r="Q20" s="5">
        <f t="shared" si="5"/>
        <v>86.09561007</v>
      </c>
      <c r="R20" s="5">
        <f t="shared" si="6"/>
        <v>293.2135985</v>
      </c>
      <c r="S20" s="5">
        <f t="shared" si="7"/>
        <v>-207.1179885</v>
      </c>
      <c r="T20" s="5">
        <f t="shared" si="8"/>
        <v>63.22538213</v>
      </c>
    </row>
    <row r="21">
      <c r="A21" s="1">
        <v>-101.025197576856</v>
      </c>
      <c r="B21" s="1">
        <v>66.4886767118367</v>
      </c>
      <c r="C21" s="1">
        <v>0.979750734593021</v>
      </c>
      <c r="D21" s="1">
        <v>154.103626251221</v>
      </c>
      <c r="E21" s="1">
        <v>18.0</v>
      </c>
      <c r="F21" s="1">
        <v>0.988762389197427</v>
      </c>
      <c r="G21" s="1">
        <v>1.0</v>
      </c>
      <c r="H21" s="1">
        <v>0.988762389197427</v>
      </c>
      <c r="I21" s="1">
        <v>-90.0</v>
      </c>
      <c r="J21" s="1">
        <v>-95.0</v>
      </c>
      <c r="K21" s="1">
        <v>-4.0</v>
      </c>
      <c r="L21" s="1">
        <v>15.0</v>
      </c>
      <c r="M21" s="4">
        <f t="shared" si="1"/>
        <v>130.8625233</v>
      </c>
      <c r="N21" s="4">
        <f t="shared" si="2"/>
        <v>108.8473063</v>
      </c>
      <c r="O21" s="4">
        <f t="shared" si="3"/>
        <v>22.01521699</v>
      </c>
      <c r="P21" s="4">
        <f t="shared" si="4"/>
        <v>484.669779</v>
      </c>
      <c r="Q21" s="5">
        <f t="shared" si="5"/>
        <v>86.90428684</v>
      </c>
      <c r="R21" s="5">
        <f t="shared" si="6"/>
        <v>293.2984885</v>
      </c>
      <c r="S21" s="5">
        <f t="shared" si="7"/>
        <v>-206.3942017</v>
      </c>
      <c r="T21" s="5">
        <f t="shared" si="8"/>
        <v>63.31027213</v>
      </c>
    </row>
    <row r="22">
      <c r="Q22" s="5"/>
      <c r="S22" s="5">
        <f> MEDIAN(S2:S18)</f>
        <v>-229.9882164</v>
      </c>
    </row>
    <row r="23">
      <c r="Q23" s="5"/>
    </row>
    <row r="24">
      <c r="Q24" s="5"/>
    </row>
    <row r="25">
      <c r="Q25" s="5"/>
    </row>
    <row r="26">
      <c r="Q26" s="5"/>
    </row>
    <row r="27">
      <c r="Q27" s="5"/>
    </row>
    <row r="28">
      <c r="Q28" s="5"/>
    </row>
    <row r="29">
      <c r="Q29" s="5"/>
    </row>
    <row r="30">
      <c r="Q30" s="5"/>
    </row>
    <row r="31">
      <c r="Q31" s="5"/>
    </row>
    <row r="32">
      <c r="Q32" s="5"/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