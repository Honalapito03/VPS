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<sst xmlns="http://schemas.openxmlformats.org/spreadsheetml/2006/main" count="20" uniqueCount="20">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</sst>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1055877602"/>
        <c:axId val="878101544"/>
      </c:lineChart>
      <c:catAx>
        <c:axId val="1055877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101544"/>
      </c:catAx>
      <c:valAx>
        <c:axId val="878101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877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1199067073"/>
        <c:axId val="1239744797"/>
      </c:lineChart>
      <c:catAx>
        <c:axId val="1199067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744797"/>
      </c:catAx>
      <c:valAx>
        <c:axId val="1239744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067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537293"/>
        <c:axId val="340424863"/>
      </c:scatterChart>
      <c:valAx>
        <c:axId val="12155372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424863"/>
      </c:valAx>
      <c:valAx>
        <c:axId val="340424863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537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716276"/>
        <c:axId val="489814049"/>
      </c:scatterChart>
      <c:valAx>
        <c:axId val="12107162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814049"/>
      </c:valAx>
      <c:valAx>
        <c:axId val="489814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7162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-5.87500020861626</v>
      </c>
      <c r="B2" s="1">
        <v>-5.87500020861626</v>
      </c>
      <c r="C2" s="1">
        <v>1.11225414276123</v>
      </c>
      <c r="D2" s="1">
        <v>20.5</v>
      </c>
      <c r="E2" s="1">
        <v>1.0</v>
      </c>
      <c r="F2" s="1">
        <v>1.0</v>
      </c>
      <c r="G2" s="1">
        <v>1.0</v>
      </c>
      <c r="H2" s="1">
        <v>0.737768140497569</v>
      </c>
      <c r="I2" s="1">
        <v>3.0</v>
      </c>
      <c r="J2" s="1">
        <v>5.0</v>
      </c>
      <c r="K2" s="1">
        <v>-5.0</v>
      </c>
      <c r="L2" s="1">
        <v>25.0</v>
      </c>
      <c r="M2" s="4">
        <f t="shared" ref="M2:M21" si="1">SQRT(I2*I2 + J2*J2)</f>
        <v>5.830951895</v>
      </c>
      <c r="N2" s="4">
        <f t="shared" ref="N2:N21" si="2">SQRT(A2*A2 + B2*B2) * 0.9</f>
        <v>7.477654477</v>
      </c>
      <c r="O2" s="4">
        <f t="shared" ref="O2:O21" si="3"> (M2 - N2)</f>
        <v>-1.646702582</v>
      </c>
      <c r="P2" s="4">
        <f t="shared" ref="P2:P21" si="4"> O2 * O2</f>
        <v>2.711629393</v>
      </c>
      <c r="Q2" s="5">
        <f t="shared" ref="Q2:Q21" si="5">MOD(ATAN(I2 / (J2 + 0.001)) / PI() * 360, 360)</f>
        <v>61.91740353</v>
      </c>
      <c r="R2" s="5">
        <f t="shared" ref="R2:R21" si="6">MOD(ATAN(B2 / (A2 + 0.001)) / PI() * 360, 360)</f>
        <v>90.0097533</v>
      </c>
      <c r="S2" s="5">
        <f t="shared" ref="S2:S21" si="7">Q2 - R2</f>
        <v>-28.09234977</v>
      </c>
      <c r="T2" s="5">
        <f t="shared" ref="T2:T21" si="8"> R2 + S$22</f>
        <v>45.2366191</v>
      </c>
    </row>
    <row r="3">
      <c r="A3" s="1">
        <v>-9.88779318384335</v>
      </c>
      <c r="B3" s="1">
        <v>-0.116373336574346</v>
      </c>
      <c r="C3" s="1">
        <v>1.0687534137171</v>
      </c>
      <c r="D3" s="1">
        <v>9.5</v>
      </c>
      <c r="E3" s="1">
        <v>2.0</v>
      </c>
      <c r="F3" s="1">
        <v>1.0</v>
      </c>
      <c r="G3" s="1">
        <v>1.0</v>
      </c>
      <c r="H3" s="1">
        <v>0.785455350226141</v>
      </c>
      <c r="I3" s="1">
        <v>8.0</v>
      </c>
      <c r="J3" s="1">
        <v>1.0</v>
      </c>
      <c r="K3" s="1">
        <v>-3.0</v>
      </c>
      <c r="L3" s="1">
        <v>10.0</v>
      </c>
      <c r="M3" s="4">
        <f t="shared" si="1"/>
        <v>8.062257748</v>
      </c>
      <c r="N3" s="4">
        <f t="shared" si="2"/>
        <v>8.899630184</v>
      </c>
      <c r="O3" s="4">
        <f t="shared" si="3"/>
        <v>-0.8373724355</v>
      </c>
      <c r="P3" s="4">
        <f t="shared" si="4"/>
        <v>0.7011925957</v>
      </c>
      <c r="Q3" s="5">
        <f t="shared" si="5"/>
        <v>165.7358639</v>
      </c>
      <c r="R3" s="5">
        <f t="shared" si="6"/>
        <v>1.348747365</v>
      </c>
      <c r="S3" s="5">
        <f t="shared" si="7"/>
        <v>164.3871166</v>
      </c>
      <c r="T3" s="5">
        <f t="shared" si="8"/>
        <v>-43.42438684</v>
      </c>
    </row>
    <row r="4">
      <c r="A4" s="1">
        <v>-4.5558010495629</v>
      </c>
      <c r="B4" s="1">
        <v>2.91505014329623</v>
      </c>
      <c r="C4" s="1">
        <v>1.02014801481895</v>
      </c>
      <c r="D4" s="1">
        <v>8.6250114440918</v>
      </c>
      <c r="E4" s="1">
        <v>3.0</v>
      </c>
      <c r="F4" s="1">
        <v>1.0</v>
      </c>
      <c r="G4" s="1">
        <v>3.0</v>
      </c>
      <c r="H4" s="1">
        <v>0.782625570944008</v>
      </c>
      <c r="I4" s="1">
        <v>3.0</v>
      </c>
      <c r="J4" s="1">
        <v>-2.0</v>
      </c>
      <c r="K4" s="1">
        <v>-1.0</v>
      </c>
      <c r="L4" s="1">
        <v>12.0</v>
      </c>
      <c r="M4" s="4">
        <f t="shared" si="1"/>
        <v>3.605551275</v>
      </c>
      <c r="N4" s="4">
        <f t="shared" si="2"/>
        <v>4.867730563</v>
      </c>
      <c r="O4" s="4">
        <f t="shared" si="3"/>
        <v>-1.262179288</v>
      </c>
      <c r="P4" s="4">
        <f t="shared" si="4"/>
        <v>1.593096555</v>
      </c>
      <c r="Q4" s="5">
        <f t="shared" si="5"/>
        <v>247.3536868</v>
      </c>
      <c r="R4" s="5">
        <f t="shared" si="6"/>
        <v>294.7619159</v>
      </c>
      <c r="S4" s="5">
        <f t="shared" si="7"/>
        <v>-47.40822917</v>
      </c>
      <c r="T4" s="5">
        <f t="shared" si="8"/>
        <v>249.9887817</v>
      </c>
    </row>
    <row r="5">
      <c r="A5" s="1">
        <v>-4.81911400787851</v>
      </c>
      <c r="B5" s="1">
        <v>6.23715066287818</v>
      </c>
      <c r="C5" s="1">
        <v>1.00000001995642</v>
      </c>
      <c r="D5" s="1">
        <v>18.3240871429443</v>
      </c>
      <c r="E5" s="1">
        <v>3.0</v>
      </c>
      <c r="F5" s="1">
        <v>0.890023920809726</v>
      </c>
      <c r="G5" s="1">
        <v>3.0</v>
      </c>
      <c r="H5" s="1">
        <v>0.788457556494671</v>
      </c>
      <c r="I5" s="1">
        <v>3.0</v>
      </c>
      <c r="J5" s="1">
        <v>-6.0</v>
      </c>
      <c r="K5" s="1">
        <v>0.0</v>
      </c>
      <c r="L5" s="1">
        <v>23.0</v>
      </c>
      <c r="M5" s="4">
        <f t="shared" si="1"/>
        <v>6.708203932</v>
      </c>
      <c r="N5" s="4">
        <f t="shared" si="2"/>
        <v>7.093799099</v>
      </c>
      <c r="O5" s="4">
        <f t="shared" si="3"/>
        <v>-0.3855951662</v>
      </c>
      <c r="P5" s="4">
        <f t="shared" si="4"/>
        <v>0.1486836322</v>
      </c>
      <c r="Q5" s="5">
        <f t="shared" si="5"/>
        <v>306.8622572</v>
      </c>
      <c r="R5" s="5">
        <f t="shared" si="6"/>
        <v>255.3711958</v>
      </c>
      <c r="S5" s="5">
        <f t="shared" si="7"/>
        <v>51.49106137</v>
      </c>
      <c r="T5" s="5">
        <f t="shared" si="8"/>
        <v>210.5980616</v>
      </c>
    </row>
    <row r="6">
      <c r="A6" s="1">
        <v>-0.0708493931796843</v>
      </c>
      <c r="B6" s="1">
        <v>5.32108396489511</v>
      </c>
      <c r="C6" s="1">
        <v>1.14223375503225</v>
      </c>
      <c r="D6" s="1">
        <v>17.8125057220459</v>
      </c>
      <c r="E6" s="1">
        <v>4.0</v>
      </c>
      <c r="F6" s="1">
        <v>1.0</v>
      </c>
      <c r="G6" s="1">
        <v>2.0</v>
      </c>
      <c r="H6" s="1">
        <v>0.838739819677956</v>
      </c>
      <c r="I6" s="1">
        <v>-1.0</v>
      </c>
      <c r="J6" s="1">
        <v>-6.0</v>
      </c>
      <c r="K6" s="1">
        <v>-6.0</v>
      </c>
      <c r="L6" s="1">
        <v>22.0</v>
      </c>
      <c r="M6" s="4">
        <f t="shared" si="1"/>
        <v>6.08276253</v>
      </c>
      <c r="N6" s="4">
        <f t="shared" si="2"/>
        <v>4.789400056</v>
      </c>
      <c r="O6" s="4">
        <f t="shared" si="3"/>
        <v>1.293362474</v>
      </c>
      <c r="P6" s="4">
        <f t="shared" si="4"/>
        <v>1.672786489</v>
      </c>
      <c r="Q6" s="5">
        <f t="shared" si="5"/>
        <v>18.92774199</v>
      </c>
      <c r="R6" s="5">
        <f t="shared" si="6"/>
        <v>181.5041468</v>
      </c>
      <c r="S6" s="5">
        <f t="shared" si="7"/>
        <v>-162.5764048</v>
      </c>
      <c r="T6" s="5">
        <f t="shared" si="8"/>
        <v>136.7310125</v>
      </c>
    </row>
    <row r="7">
      <c r="A7" s="1">
        <v>6.56956814800646</v>
      </c>
      <c r="B7" s="1">
        <v>9.69611207272583</v>
      </c>
      <c r="C7" s="1">
        <v>0.999694934739039</v>
      </c>
      <c r="D7" s="1">
        <v>8.8125057220459</v>
      </c>
      <c r="E7" s="1">
        <v>5.0</v>
      </c>
      <c r="F7" s="1">
        <v>1.0</v>
      </c>
      <c r="G7" s="1">
        <v>1.0</v>
      </c>
      <c r="H7" s="1">
        <v>0.75249385636268</v>
      </c>
      <c r="I7" s="1">
        <v>-6.0</v>
      </c>
      <c r="J7" s="1">
        <v>-10.0</v>
      </c>
      <c r="K7" s="1">
        <v>0.0</v>
      </c>
      <c r="L7" s="1">
        <v>12.0</v>
      </c>
      <c r="M7" s="4">
        <f t="shared" si="1"/>
        <v>11.66190379</v>
      </c>
      <c r="N7" s="4">
        <f t="shared" si="2"/>
        <v>10.54091031</v>
      </c>
      <c r="O7" s="4">
        <f t="shared" si="3"/>
        <v>1.120993481</v>
      </c>
      <c r="P7" s="4">
        <f t="shared" si="4"/>
        <v>1.256626385</v>
      </c>
      <c r="Q7" s="5">
        <f t="shared" si="5"/>
        <v>61.93256895</v>
      </c>
      <c r="R7" s="5">
        <f t="shared" si="6"/>
        <v>111.7529574</v>
      </c>
      <c r="S7" s="5">
        <f t="shared" si="7"/>
        <v>-49.82038849</v>
      </c>
      <c r="T7" s="5">
        <f t="shared" si="8"/>
        <v>66.97982323</v>
      </c>
    </row>
    <row r="8">
      <c r="A8" s="1">
        <v>3.42337170851558</v>
      </c>
      <c r="B8" s="1">
        <v>14.5967162583565</v>
      </c>
      <c r="C8" s="1">
        <v>1.14587320843713</v>
      </c>
      <c r="D8" s="1">
        <v>6.7899227142334</v>
      </c>
      <c r="E8" s="1">
        <v>6.0</v>
      </c>
      <c r="F8" s="1">
        <v>1.0</v>
      </c>
      <c r="G8" s="1">
        <v>2.0</v>
      </c>
      <c r="H8" s="1">
        <v>0.765126671070667</v>
      </c>
      <c r="I8" s="1">
        <v>-2.0</v>
      </c>
      <c r="J8" s="1">
        <v>-14.0</v>
      </c>
      <c r="K8" s="1">
        <v>-6.0</v>
      </c>
      <c r="L8" s="1">
        <v>9.0</v>
      </c>
      <c r="M8" s="4">
        <f t="shared" si="1"/>
        <v>14.14213562</v>
      </c>
      <c r="N8" s="4">
        <f t="shared" si="2"/>
        <v>13.49350642</v>
      </c>
      <c r="O8" s="4">
        <f t="shared" si="3"/>
        <v>0.648629204</v>
      </c>
      <c r="P8" s="4">
        <f t="shared" si="4"/>
        <v>0.4207198443</v>
      </c>
      <c r="Q8" s="5">
        <f t="shared" si="5"/>
        <v>16.2613507</v>
      </c>
      <c r="R8" s="5">
        <f t="shared" si="6"/>
        <v>153.5944726</v>
      </c>
      <c r="S8" s="5">
        <f t="shared" si="7"/>
        <v>-137.3331219</v>
      </c>
      <c r="T8" s="5">
        <f t="shared" si="8"/>
        <v>108.8213384</v>
      </c>
    </row>
    <row r="9">
      <c r="A9" s="1">
        <v>8.70303185567321</v>
      </c>
      <c r="B9" s="1">
        <v>14.6333658721987</v>
      </c>
      <c r="C9" s="1">
        <v>1.03874201081369</v>
      </c>
      <c r="D9" s="1">
        <v>0.801213979721069</v>
      </c>
      <c r="E9" s="1">
        <v>7.0</v>
      </c>
      <c r="F9" s="1">
        <v>1.0</v>
      </c>
      <c r="G9" s="1">
        <v>2.0</v>
      </c>
      <c r="H9" s="1">
        <v>0.831488664808174</v>
      </c>
      <c r="I9" s="1">
        <v>-7.0</v>
      </c>
      <c r="J9" s="1">
        <v>-14.0</v>
      </c>
      <c r="K9" s="1">
        <v>-2.0</v>
      </c>
      <c r="L9" s="1">
        <v>0.0</v>
      </c>
      <c r="M9" s="4">
        <f t="shared" si="1"/>
        <v>15.65247584</v>
      </c>
      <c r="N9" s="4">
        <f t="shared" si="2"/>
        <v>15.32322779</v>
      </c>
      <c r="O9" s="4">
        <f t="shared" si="3"/>
        <v>0.3292480563</v>
      </c>
      <c r="P9" s="4">
        <f t="shared" si="4"/>
        <v>0.1084042826</v>
      </c>
      <c r="Q9" s="5">
        <f t="shared" si="5"/>
        <v>53.13337659</v>
      </c>
      <c r="R9" s="5">
        <f t="shared" si="6"/>
        <v>118.5110243</v>
      </c>
      <c r="S9" s="5">
        <f t="shared" si="7"/>
        <v>-65.37764767</v>
      </c>
      <c r="T9" s="5">
        <f t="shared" si="8"/>
        <v>73.73789005</v>
      </c>
    </row>
    <row r="10">
      <c r="A10" s="1">
        <v>3.3544161330372</v>
      </c>
      <c r="B10" s="1">
        <v>18.1399568471577</v>
      </c>
      <c r="C10" s="1">
        <v>1.14762503226557</v>
      </c>
      <c r="D10" s="1">
        <v>23.8012379407883</v>
      </c>
      <c r="E10" s="1">
        <v>6.0</v>
      </c>
      <c r="F10" s="1">
        <v>0.896986724176317</v>
      </c>
      <c r="G10" s="1">
        <v>3.0</v>
      </c>
      <c r="H10" s="1">
        <v>0.807153125615672</v>
      </c>
      <c r="I10" s="1">
        <v>-3.0</v>
      </c>
      <c r="J10" s="1">
        <v>-18.0</v>
      </c>
      <c r="K10" s="1">
        <v>-6.0</v>
      </c>
      <c r="L10" s="1">
        <v>28.0</v>
      </c>
      <c r="M10" s="4">
        <f t="shared" si="1"/>
        <v>18.24828759</v>
      </c>
      <c r="N10" s="4">
        <f t="shared" si="2"/>
        <v>16.60274721</v>
      </c>
      <c r="O10" s="4">
        <f t="shared" si="3"/>
        <v>1.645540378</v>
      </c>
      <c r="P10" s="4">
        <f t="shared" si="4"/>
        <v>2.707803134</v>
      </c>
      <c r="Q10" s="5">
        <f t="shared" si="5"/>
        <v>18.92567683</v>
      </c>
      <c r="R10" s="5">
        <f t="shared" si="6"/>
        <v>159.0404704</v>
      </c>
      <c r="S10" s="5">
        <f t="shared" si="7"/>
        <v>-140.1147936</v>
      </c>
      <c r="T10" s="5">
        <f t="shared" si="8"/>
        <v>114.2673362</v>
      </c>
    </row>
    <row r="11">
      <c r="A11" s="1">
        <v>9.34434137933986</v>
      </c>
      <c r="B11" s="1">
        <v>21.9094303132261</v>
      </c>
      <c r="C11" s="1">
        <v>1.01742142938974</v>
      </c>
      <c r="D11" s="1">
        <v>5.79556834697723</v>
      </c>
      <c r="E11" s="1">
        <v>8.0</v>
      </c>
      <c r="F11" s="1">
        <v>1.0</v>
      </c>
      <c r="G11" s="1">
        <v>2.0</v>
      </c>
      <c r="H11" s="1">
        <v>0.736604287932308</v>
      </c>
      <c r="I11" s="1">
        <v>-7.0</v>
      </c>
      <c r="J11" s="1">
        <v>-21.0</v>
      </c>
      <c r="K11" s="1">
        <v>-1.0</v>
      </c>
      <c r="L11" s="1">
        <v>8.0</v>
      </c>
      <c r="M11" s="4">
        <f t="shared" si="1"/>
        <v>22.13594362</v>
      </c>
      <c r="N11" s="4">
        <f t="shared" si="2"/>
        <v>21.43700727</v>
      </c>
      <c r="O11" s="4">
        <f t="shared" si="3"/>
        <v>0.6989363558</v>
      </c>
      <c r="P11" s="4">
        <f t="shared" si="4"/>
        <v>0.4885120295</v>
      </c>
      <c r="Q11" s="5">
        <f t="shared" si="5"/>
        <v>36.87153474</v>
      </c>
      <c r="R11" s="5">
        <f t="shared" si="6"/>
        <v>133.7992149</v>
      </c>
      <c r="S11" s="5">
        <f t="shared" si="7"/>
        <v>-96.9276802</v>
      </c>
      <c r="T11" s="5">
        <f t="shared" si="8"/>
        <v>89.02608073</v>
      </c>
    </row>
    <row r="12">
      <c r="A12" s="1">
        <v>12.6123201239878</v>
      </c>
      <c r="B12" s="1">
        <v>19.4825408211533</v>
      </c>
      <c r="C12" s="1">
        <v>1.01782401941254</v>
      </c>
      <c r="D12" s="1">
        <v>18.7983916401863</v>
      </c>
      <c r="E12" s="1">
        <v>8.0</v>
      </c>
      <c r="F12" s="1">
        <v>0.866664326822118</v>
      </c>
      <c r="G12" s="1">
        <v>2.0</v>
      </c>
      <c r="H12" s="1">
        <v>0.832375418053902</v>
      </c>
      <c r="I12" s="1">
        <v>-11.0</v>
      </c>
      <c r="J12" s="1">
        <v>-21.0</v>
      </c>
      <c r="K12" s="1">
        <v>-1.0</v>
      </c>
      <c r="L12" s="1">
        <v>23.0</v>
      </c>
      <c r="M12" s="4">
        <f t="shared" si="1"/>
        <v>23.70653918</v>
      </c>
      <c r="N12" s="4">
        <f t="shared" si="2"/>
        <v>20.88775749</v>
      </c>
      <c r="O12" s="4">
        <f t="shared" si="3"/>
        <v>2.818781697</v>
      </c>
      <c r="P12" s="4">
        <f t="shared" si="4"/>
        <v>7.945530255</v>
      </c>
      <c r="Q12" s="5">
        <f t="shared" si="5"/>
        <v>55.29419371</v>
      </c>
      <c r="R12" s="5">
        <f t="shared" si="6"/>
        <v>114.1606211</v>
      </c>
      <c r="S12" s="5">
        <f t="shared" si="7"/>
        <v>-58.86642734</v>
      </c>
      <c r="T12" s="5">
        <f t="shared" si="8"/>
        <v>69.38748684</v>
      </c>
    </row>
    <row r="13">
      <c r="A13" s="1">
        <v>18.3975155369554</v>
      </c>
      <c r="B13" s="1">
        <v>21.5316570556108</v>
      </c>
      <c r="C13" s="1">
        <v>1.06589680957864</v>
      </c>
      <c r="D13" s="1">
        <v>24.2955683469772</v>
      </c>
      <c r="E13" s="1">
        <v>9.0</v>
      </c>
      <c r="F13" s="1">
        <v>1.0</v>
      </c>
      <c r="G13" s="1">
        <v>1.0</v>
      </c>
      <c r="H13" s="1">
        <v>0.710044214673957</v>
      </c>
      <c r="I13" s="1">
        <v>-16.0</v>
      </c>
      <c r="J13" s="1">
        <v>-24.0</v>
      </c>
      <c r="K13" s="1">
        <v>-3.0</v>
      </c>
      <c r="L13" s="1">
        <v>29.0</v>
      </c>
      <c r="M13" s="4">
        <f t="shared" si="1"/>
        <v>28.8444102</v>
      </c>
      <c r="N13" s="4">
        <f t="shared" si="2"/>
        <v>25.48892848</v>
      </c>
      <c r="O13" s="4">
        <f t="shared" si="3"/>
        <v>3.355481722</v>
      </c>
      <c r="P13" s="4">
        <f t="shared" si="4"/>
        <v>11.25925759</v>
      </c>
      <c r="Q13" s="5">
        <f t="shared" si="5"/>
        <v>67.3823388</v>
      </c>
      <c r="R13" s="5">
        <f t="shared" si="6"/>
        <v>98.97310042</v>
      </c>
      <c r="S13" s="5">
        <f t="shared" si="7"/>
        <v>-31.59076162</v>
      </c>
      <c r="T13" s="5">
        <f t="shared" si="8"/>
        <v>54.19996621</v>
      </c>
    </row>
    <row r="14">
      <c r="A14" s="1">
        <v>19.5445686809439</v>
      </c>
      <c r="B14" s="1">
        <v>25.9738254335229</v>
      </c>
      <c r="C14" s="1">
        <v>1.10928168830532</v>
      </c>
      <c r="D14" s="1">
        <v>18.2955678701401</v>
      </c>
      <c r="E14" s="1">
        <v>9.0</v>
      </c>
      <c r="F14" s="1">
        <v>0.85938703947079</v>
      </c>
      <c r="G14" s="1">
        <v>1.0</v>
      </c>
      <c r="H14" s="1">
        <v>0.85938703947079</v>
      </c>
      <c r="I14" s="1">
        <v>-16.0</v>
      </c>
      <c r="J14" s="1">
        <v>-27.0</v>
      </c>
      <c r="K14" s="1">
        <v>-5.0</v>
      </c>
      <c r="L14" s="1">
        <v>22.0</v>
      </c>
      <c r="M14" s="4">
        <f t="shared" si="1"/>
        <v>31.38470965</v>
      </c>
      <c r="N14" s="4">
        <f t="shared" si="2"/>
        <v>29.25525792</v>
      </c>
      <c r="O14" s="4">
        <f t="shared" si="3"/>
        <v>2.129451736</v>
      </c>
      <c r="P14" s="4">
        <f t="shared" si="4"/>
        <v>4.534564696</v>
      </c>
      <c r="Q14" s="5">
        <f t="shared" si="5"/>
        <v>61.30319735</v>
      </c>
      <c r="R14" s="5">
        <f t="shared" si="6"/>
        <v>106.0763316</v>
      </c>
      <c r="S14" s="5">
        <f t="shared" si="7"/>
        <v>-44.77313421</v>
      </c>
      <c r="T14" s="5">
        <f t="shared" si="8"/>
        <v>61.30319735</v>
      </c>
    </row>
    <row r="15">
      <c r="A15" s="1">
        <v>25.9406271525998</v>
      </c>
      <c r="B15" s="1">
        <v>29.7618340702488</v>
      </c>
      <c r="C15" s="1">
        <v>1.05181548828701</v>
      </c>
      <c r="D15" s="1">
        <v>12.2955530881882</v>
      </c>
      <c r="E15" s="1">
        <v>10.0</v>
      </c>
      <c r="F15" s="1">
        <v>1.0</v>
      </c>
      <c r="G15" s="1">
        <v>0.0</v>
      </c>
      <c r="H15" s="1">
        <v>0.0</v>
      </c>
      <c r="I15" s="1">
        <v>-21.0</v>
      </c>
      <c r="J15" s="1">
        <v>-31.0</v>
      </c>
      <c r="K15" s="1">
        <v>-3.0</v>
      </c>
      <c r="L15" s="1">
        <v>16.0</v>
      </c>
      <c r="M15" s="4">
        <f t="shared" si="1"/>
        <v>37.44329045</v>
      </c>
      <c r="N15" s="4">
        <f t="shared" si="2"/>
        <v>35.53214253</v>
      </c>
      <c r="O15" s="4">
        <f t="shared" si="3"/>
        <v>1.911147928</v>
      </c>
      <c r="P15" s="4">
        <f t="shared" si="4"/>
        <v>3.652486402</v>
      </c>
      <c r="Q15" s="5">
        <f t="shared" si="5"/>
        <v>68.23066235</v>
      </c>
      <c r="R15" s="5">
        <f t="shared" si="6"/>
        <v>97.84653351</v>
      </c>
      <c r="S15" s="5">
        <f t="shared" si="7"/>
        <v>-29.61587116</v>
      </c>
      <c r="T15" s="5">
        <f t="shared" si="8"/>
        <v>53.0733993</v>
      </c>
    </row>
    <row r="16">
      <c r="A16" s="1">
        <v>32.7021504916844</v>
      </c>
      <c r="B16" s="1">
        <v>33.060016671469</v>
      </c>
      <c r="C16" s="1">
        <v>0.984151715519744</v>
      </c>
      <c r="D16" s="1">
        <v>3.25043284893036</v>
      </c>
      <c r="E16" s="1">
        <v>11.0</v>
      </c>
      <c r="F16" s="1">
        <v>1.0</v>
      </c>
      <c r="G16" s="1">
        <v>1.0</v>
      </c>
      <c r="H16" s="1">
        <v>0.753661879442305</v>
      </c>
      <c r="I16" s="1">
        <v>-26.0</v>
      </c>
      <c r="J16" s="1">
        <v>-34.0</v>
      </c>
      <c r="K16" s="1">
        <v>0.0</v>
      </c>
      <c r="L16" s="1">
        <v>6.0</v>
      </c>
      <c r="M16" s="4">
        <f t="shared" si="1"/>
        <v>42.80186912</v>
      </c>
      <c r="N16" s="4">
        <f t="shared" si="2"/>
        <v>41.85140658</v>
      </c>
      <c r="O16" s="4">
        <f t="shared" si="3"/>
        <v>0.9504625375</v>
      </c>
      <c r="P16" s="4">
        <f t="shared" si="4"/>
        <v>0.9033790352</v>
      </c>
      <c r="Q16" s="5">
        <f t="shared" si="5"/>
        <v>74.81233959</v>
      </c>
      <c r="R16" s="5">
        <f t="shared" si="6"/>
        <v>90.62182909</v>
      </c>
      <c r="S16" s="5">
        <f t="shared" si="7"/>
        <v>-15.8094895</v>
      </c>
      <c r="T16" s="5">
        <f t="shared" si="8"/>
        <v>45.84869488</v>
      </c>
    </row>
    <row r="17">
      <c r="A17" s="1">
        <v>31.2316603736623</v>
      </c>
      <c r="B17" s="1">
        <v>31.0226647254795</v>
      </c>
      <c r="C17" s="1">
        <v>1.00732956558079</v>
      </c>
      <c r="D17" s="1">
        <v>23.2729929685593</v>
      </c>
      <c r="E17" s="1">
        <v>11.0</v>
      </c>
      <c r="F17" s="1">
        <v>0.915888502549572</v>
      </c>
      <c r="G17" s="1">
        <v>2.0</v>
      </c>
      <c r="H17" s="1">
        <v>0.869895016982958</v>
      </c>
      <c r="I17" s="1">
        <v>-26.0</v>
      </c>
      <c r="J17" s="1">
        <v>-34.0</v>
      </c>
      <c r="K17" s="1">
        <v>-1.0</v>
      </c>
      <c r="L17" s="1">
        <v>28.0</v>
      </c>
      <c r="M17" s="4">
        <f t="shared" si="1"/>
        <v>42.80186912</v>
      </c>
      <c r="N17" s="4">
        <f t="shared" si="2"/>
        <v>39.61863315</v>
      </c>
      <c r="O17" s="4">
        <f t="shared" si="3"/>
        <v>3.183235971</v>
      </c>
      <c r="P17" s="4">
        <f t="shared" si="4"/>
        <v>10.13299125</v>
      </c>
      <c r="Q17" s="5">
        <f t="shared" si="5"/>
        <v>74.81233959</v>
      </c>
      <c r="R17" s="5">
        <f t="shared" si="6"/>
        <v>89.61346861</v>
      </c>
      <c r="S17" s="5">
        <f t="shared" si="7"/>
        <v>-14.80112902</v>
      </c>
      <c r="T17" s="5">
        <f t="shared" si="8"/>
        <v>44.8403344</v>
      </c>
    </row>
    <row r="18">
      <c r="A18" s="1">
        <v>28.3801967674364</v>
      </c>
      <c r="B18" s="1">
        <v>36.8425984249392</v>
      </c>
      <c r="C18" s="1">
        <v>1.03104191591105</v>
      </c>
      <c r="D18" s="1">
        <v>9.02524387836456</v>
      </c>
      <c r="E18" s="1">
        <v>12.0</v>
      </c>
      <c r="F18" s="1">
        <v>1.0</v>
      </c>
      <c r="G18" s="1">
        <v>2.0</v>
      </c>
      <c r="H18" s="1">
        <v>0.785142333706473</v>
      </c>
      <c r="I18" s="1">
        <v>-22.0</v>
      </c>
      <c r="J18" s="1">
        <v>-37.0</v>
      </c>
      <c r="K18" s="1">
        <v>-2.0</v>
      </c>
      <c r="L18" s="1">
        <v>12.0</v>
      </c>
      <c r="M18" s="4">
        <f t="shared" si="1"/>
        <v>43.0464865</v>
      </c>
      <c r="N18" s="4">
        <f t="shared" si="2"/>
        <v>41.85544443</v>
      </c>
      <c r="O18" s="4">
        <f t="shared" si="3"/>
        <v>1.191042074</v>
      </c>
      <c r="P18" s="4">
        <f t="shared" si="4"/>
        <v>1.418581223</v>
      </c>
      <c r="Q18" s="5">
        <f t="shared" si="5"/>
        <v>61.47233594</v>
      </c>
      <c r="R18" s="5">
        <f t="shared" si="6"/>
        <v>104.7832572</v>
      </c>
      <c r="S18" s="5">
        <f t="shared" si="7"/>
        <v>-43.31092128</v>
      </c>
      <c r="T18" s="5">
        <f t="shared" si="8"/>
        <v>60.01012301</v>
      </c>
    </row>
    <row r="19">
      <c r="A19" s="1">
        <v>24.550000203986</v>
      </c>
      <c r="B19" s="1">
        <v>41.6355062365835</v>
      </c>
      <c r="C19" s="1">
        <v>1.03104191591105</v>
      </c>
      <c r="D19" s="1">
        <v>7.02524387836456</v>
      </c>
      <c r="E19" s="1">
        <v>13.0</v>
      </c>
      <c r="F19" s="1">
        <v>1.0</v>
      </c>
      <c r="G19" s="1">
        <v>1.0</v>
      </c>
      <c r="H19" s="1">
        <v>0.801646024480007</v>
      </c>
      <c r="I19" s="1">
        <v>-18.0</v>
      </c>
      <c r="J19" s="1">
        <v>-40.0</v>
      </c>
      <c r="K19" s="1">
        <v>-2.0</v>
      </c>
      <c r="L19" s="1">
        <v>9.0</v>
      </c>
      <c r="M19" s="4">
        <f t="shared" si="1"/>
        <v>43.8634244</v>
      </c>
      <c r="N19" s="4">
        <f t="shared" si="2"/>
        <v>43.50099413</v>
      </c>
      <c r="O19" s="4">
        <f t="shared" si="3"/>
        <v>0.3624302658</v>
      </c>
      <c r="P19" s="4">
        <f t="shared" si="4"/>
        <v>0.1313556976</v>
      </c>
      <c r="Q19" s="5">
        <f t="shared" si="5"/>
        <v>48.45656272</v>
      </c>
      <c r="R19" s="5">
        <f t="shared" si="6"/>
        <v>118.9472714</v>
      </c>
      <c r="S19" s="5">
        <f t="shared" si="7"/>
        <v>-70.4907087</v>
      </c>
      <c r="T19" s="5">
        <f t="shared" si="8"/>
        <v>74.17413721</v>
      </c>
    </row>
    <row r="20">
      <c r="A20" s="1">
        <v>18.8558879180377</v>
      </c>
      <c r="B20" s="1">
        <v>40.2619652391439</v>
      </c>
      <c r="C20" s="1">
        <v>1.11668151352552</v>
      </c>
      <c r="D20" s="1">
        <v>24.5252438783646</v>
      </c>
      <c r="E20" s="1">
        <v>14.0</v>
      </c>
      <c r="F20" s="1">
        <v>1.0</v>
      </c>
      <c r="G20" s="1">
        <v>1.0</v>
      </c>
      <c r="H20" s="1">
        <v>0.818181626687181</v>
      </c>
      <c r="I20" s="1">
        <v>-14.0</v>
      </c>
      <c r="J20" s="1">
        <v>-40.0</v>
      </c>
      <c r="K20" s="1">
        <v>-5.0</v>
      </c>
      <c r="L20" s="1">
        <v>28.0</v>
      </c>
      <c r="M20" s="4">
        <f t="shared" si="1"/>
        <v>42.3792402</v>
      </c>
      <c r="N20" s="4">
        <f t="shared" si="2"/>
        <v>40.0127728</v>
      </c>
      <c r="O20" s="4">
        <f t="shared" si="3"/>
        <v>2.366467405</v>
      </c>
      <c r="P20" s="4">
        <f t="shared" si="4"/>
        <v>5.600167979</v>
      </c>
      <c r="Q20" s="5">
        <f t="shared" si="5"/>
        <v>38.58098571</v>
      </c>
      <c r="R20" s="5">
        <f t="shared" si="6"/>
        <v>129.8074568</v>
      </c>
      <c r="S20" s="5">
        <f t="shared" si="7"/>
        <v>-91.22647106</v>
      </c>
      <c r="T20" s="5">
        <f t="shared" si="8"/>
        <v>85.03432257</v>
      </c>
    </row>
    <row r="21">
      <c r="A21" s="1">
        <v>16.1663265284531</v>
      </c>
      <c r="B21" s="1">
        <v>45.6174411639996</v>
      </c>
      <c r="C21" s="1">
        <v>1.01747432110463</v>
      </c>
      <c r="D21" s="1">
        <v>14.525594830513</v>
      </c>
      <c r="E21" s="1">
        <v>15.0</v>
      </c>
      <c r="F21" s="1">
        <v>1.0</v>
      </c>
      <c r="G21" s="1">
        <v>1.0</v>
      </c>
      <c r="H21" s="1">
        <v>0.812794019360264</v>
      </c>
      <c r="I21" s="1">
        <v>-10.0</v>
      </c>
      <c r="J21" s="1">
        <v>-44.0</v>
      </c>
      <c r="K21" s="1">
        <v>-1.0</v>
      </c>
      <c r="L21" s="1">
        <v>17.0</v>
      </c>
      <c r="M21" s="4">
        <f t="shared" si="1"/>
        <v>45.12205669</v>
      </c>
      <c r="N21" s="4">
        <f t="shared" si="2"/>
        <v>43.55759236</v>
      </c>
      <c r="O21" s="4">
        <f t="shared" si="3"/>
        <v>1.564464334</v>
      </c>
      <c r="P21" s="4">
        <f t="shared" si="4"/>
        <v>2.447548651</v>
      </c>
      <c r="Q21" s="5">
        <f t="shared" si="5"/>
        <v>25.60909497</v>
      </c>
      <c r="R21" s="5">
        <f t="shared" si="6"/>
        <v>140.9702189</v>
      </c>
      <c r="S21" s="5">
        <f t="shared" si="7"/>
        <v>-115.3611239</v>
      </c>
      <c r="T21" s="5">
        <f t="shared" si="8"/>
        <v>96.19708469</v>
      </c>
    </row>
    <row r="22">
      <c r="Q22" s="5"/>
      <c r="S22" s="5">
        <f> MEDIAN(S2:S18)</f>
        <v>-44.77313421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