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<sst xmlns="http://schemas.openxmlformats.org/spreadsheetml/2006/main" count="20" uniqueCount="20">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</sst>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1382672904"/>
        <c:axId val="699595436"/>
      </c:lineChart>
      <c:catAx>
        <c:axId val="1382672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595436"/>
      </c:catAx>
      <c:valAx>
        <c:axId val="699595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672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556475155"/>
        <c:axId val="1585430638"/>
      </c:lineChart>
      <c:catAx>
        <c:axId val="556475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430638"/>
      </c:catAx>
      <c:valAx>
        <c:axId val="1585430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475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981089"/>
        <c:axId val="1285846032"/>
      </c:scatterChart>
      <c:valAx>
        <c:axId val="10769810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846032"/>
      </c:valAx>
      <c:valAx>
        <c:axId val="1285846032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981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786404"/>
        <c:axId val="1284233613"/>
      </c:scatterChart>
      <c:valAx>
        <c:axId val="4567864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233613"/>
      </c:valAx>
      <c:valAx>
        <c:axId val="1284233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786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-3.12499903142452</v>
      </c>
      <c r="B2" s="1">
        <v>4.6875</v>
      </c>
      <c r="C2" s="1">
        <v>1.02014446258545</v>
      </c>
      <c r="D2" s="1">
        <v>2.49998474121094</v>
      </c>
      <c r="E2" s="1">
        <v>1.0</v>
      </c>
      <c r="F2" s="1">
        <v>1.0</v>
      </c>
      <c r="G2" s="1">
        <v>1.0</v>
      </c>
      <c r="H2" s="1">
        <v>0.814083483137526</v>
      </c>
      <c r="I2" s="1">
        <v>2.0</v>
      </c>
      <c r="J2" s="1">
        <v>-3.0</v>
      </c>
      <c r="K2" s="1">
        <v>-1.0</v>
      </c>
      <c r="L2" s="1">
        <v>3.0</v>
      </c>
      <c r="M2" s="4">
        <f t="shared" ref="M2:M21" si="1">SQRT(I2*I2 + J2*J2)</f>
        <v>3.605551275</v>
      </c>
      <c r="N2" s="4">
        <f t="shared" ref="N2:N21" si="2">SQRT(A2*A2 + B2*B2) * 0.9</f>
        <v>5.070305998</v>
      </c>
      <c r="O2" s="4">
        <f t="shared" ref="O2:O21" si="3"> (M2 - N2)</f>
        <v>-1.464754722</v>
      </c>
      <c r="P2" s="4">
        <f t="shared" ref="P2:P21" si="4"> O2 * O2</f>
        <v>2.145506396</v>
      </c>
      <c r="Q2" s="5">
        <f t="shared" ref="Q2:Q21" si="5">MOD(ATAN(I2 / (J2 + 0.001)) / PI() * 360, 360)</f>
        <v>292.6022314</v>
      </c>
      <c r="R2" s="5">
        <f t="shared" ref="R2:R21" si="6">MOD(ATAN(B2 / (A2 + 0.001)) / PI() * 360, 360)</f>
        <v>247.3631927</v>
      </c>
      <c r="S2" s="5">
        <f t="shared" ref="S2:S21" si="7">Q2 - R2</f>
        <v>45.23903871</v>
      </c>
      <c r="T2" s="5">
        <f t="shared" ref="T2:T21" si="8"> R2 + S$22</f>
        <v>327.9293703</v>
      </c>
    </row>
    <row r="3">
      <c r="A3" s="1">
        <v>-3.40802346141419</v>
      </c>
      <c r="B3" s="1">
        <v>-0.296891197378254</v>
      </c>
      <c r="C3" s="1">
        <v>1.06697991359189</v>
      </c>
      <c r="D3" s="1">
        <v>22.3745536804199</v>
      </c>
      <c r="E3" s="1">
        <v>0.0</v>
      </c>
      <c r="F3" s="1">
        <v>0.88966411370429</v>
      </c>
      <c r="G3" s="1">
        <v>2.0</v>
      </c>
      <c r="H3" s="1">
        <v>0.865098426613652</v>
      </c>
      <c r="I3" s="1">
        <v>1.0</v>
      </c>
      <c r="J3" s="1">
        <v>0.0</v>
      </c>
      <c r="K3" s="1">
        <v>-3.0</v>
      </c>
      <c r="L3" s="1">
        <v>25.0</v>
      </c>
      <c r="M3" s="4">
        <f t="shared" si="1"/>
        <v>1</v>
      </c>
      <c r="N3" s="4">
        <f t="shared" si="2"/>
        <v>3.07883782</v>
      </c>
      <c r="O3" s="4">
        <f t="shared" si="3"/>
        <v>-2.07883782</v>
      </c>
      <c r="P3" s="4">
        <f t="shared" si="4"/>
        <v>4.321566681</v>
      </c>
      <c r="Q3" s="5">
        <f t="shared" si="5"/>
        <v>179.8854085</v>
      </c>
      <c r="R3" s="5">
        <f t="shared" si="6"/>
        <v>9.960454313</v>
      </c>
      <c r="S3" s="5">
        <f t="shared" si="7"/>
        <v>169.9249542</v>
      </c>
      <c r="T3" s="5">
        <f t="shared" si="8"/>
        <v>90.52663189</v>
      </c>
    </row>
    <row r="4">
      <c r="A4" s="1">
        <v>-0.364171156258103</v>
      </c>
      <c r="B4" s="1">
        <v>-2.61835778840693</v>
      </c>
      <c r="C4" s="1">
        <v>1.13090212071302</v>
      </c>
      <c r="D4" s="1">
        <v>10.7500305175781</v>
      </c>
      <c r="E4" s="1">
        <v>0.0</v>
      </c>
      <c r="F4" s="1">
        <v>0.917294444974018</v>
      </c>
      <c r="G4" s="1">
        <v>2.0</v>
      </c>
      <c r="H4" s="1">
        <v>0.837619249058092</v>
      </c>
      <c r="I4" s="1">
        <v>-2.0</v>
      </c>
      <c r="J4" s="1">
        <v>2.0</v>
      </c>
      <c r="K4" s="1">
        <v>-6.0</v>
      </c>
      <c r="L4" s="1">
        <v>12.0</v>
      </c>
      <c r="M4" s="4">
        <f t="shared" si="1"/>
        <v>2.828427125</v>
      </c>
      <c r="N4" s="4">
        <f t="shared" si="2"/>
        <v>2.379205475</v>
      </c>
      <c r="O4" s="4">
        <f t="shared" si="3"/>
        <v>0.4492216497</v>
      </c>
      <c r="P4" s="4">
        <f t="shared" si="4"/>
        <v>0.2018000905</v>
      </c>
      <c r="Q4" s="5">
        <f t="shared" si="5"/>
        <v>270.0286407</v>
      </c>
      <c r="R4" s="5">
        <f t="shared" si="6"/>
        <v>164.2066988</v>
      </c>
      <c r="S4" s="5">
        <f t="shared" si="7"/>
        <v>105.8219419</v>
      </c>
      <c r="T4" s="5">
        <f t="shared" si="8"/>
        <v>244.7728764</v>
      </c>
    </row>
    <row r="5">
      <c r="A5" s="1">
        <v>0.250000013038516</v>
      </c>
      <c r="B5" s="1">
        <v>-5.43750017881393</v>
      </c>
      <c r="C5" s="1">
        <v>1.07588350772858</v>
      </c>
      <c r="D5" s="1">
        <v>17.5</v>
      </c>
      <c r="E5" s="1">
        <v>2.0</v>
      </c>
      <c r="F5" s="1">
        <v>1.0</v>
      </c>
      <c r="G5" s="1">
        <v>1.0</v>
      </c>
      <c r="H5" s="1">
        <v>0.825191081246147</v>
      </c>
      <c r="I5" s="1">
        <v>-3.0</v>
      </c>
      <c r="J5" s="1">
        <v>5.0</v>
      </c>
      <c r="K5" s="1">
        <v>-4.0</v>
      </c>
      <c r="L5" s="1">
        <v>20.0</v>
      </c>
      <c r="M5" s="4">
        <f t="shared" si="1"/>
        <v>5.830951895</v>
      </c>
      <c r="N5" s="4">
        <f t="shared" si="2"/>
        <v>4.898919845</v>
      </c>
      <c r="O5" s="4">
        <f t="shared" si="3"/>
        <v>0.9320320503</v>
      </c>
      <c r="P5" s="4">
        <f t="shared" si="4"/>
        <v>0.8686837429</v>
      </c>
      <c r="Q5" s="5">
        <f t="shared" si="5"/>
        <v>298.0825965</v>
      </c>
      <c r="R5" s="5">
        <f t="shared" si="6"/>
        <v>185.2858995</v>
      </c>
      <c r="S5" s="5">
        <f t="shared" si="7"/>
        <v>112.796697</v>
      </c>
      <c r="T5" s="5">
        <f t="shared" si="8"/>
        <v>265.8520771</v>
      </c>
    </row>
    <row r="6">
      <c r="A6" s="1">
        <v>0.937125278975065</v>
      </c>
      <c r="B6" s="1">
        <v>-8.41291845456722</v>
      </c>
      <c r="C6" s="1">
        <v>1.10540084792864</v>
      </c>
      <c r="D6" s="1">
        <v>21.0000001192093</v>
      </c>
      <c r="E6" s="1">
        <v>2.0</v>
      </c>
      <c r="F6" s="1">
        <v>0.906668807326316</v>
      </c>
      <c r="G6" s="1">
        <v>2.0</v>
      </c>
      <c r="H6" s="1">
        <v>0.819314773147028</v>
      </c>
      <c r="I6" s="1">
        <v>-4.0</v>
      </c>
      <c r="J6" s="1">
        <v>7.0</v>
      </c>
      <c r="K6" s="1">
        <v>-5.0</v>
      </c>
      <c r="L6" s="1">
        <v>24.0</v>
      </c>
      <c r="M6" s="4">
        <f t="shared" si="1"/>
        <v>8.062257748</v>
      </c>
      <c r="N6" s="4">
        <f t="shared" si="2"/>
        <v>7.618456181</v>
      </c>
      <c r="O6" s="4">
        <f t="shared" si="3"/>
        <v>0.4438015676</v>
      </c>
      <c r="P6" s="4">
        <f t="shared" si="4"/>
        <v>0.1969598314</v>
      </c>
      <c r="Q6" s="5">
        <f t="shared" si="5"/>
        <v>300.5172884</v>
      </c>
      <c r="R6" s="5">
        <f t="shared" si="6"/>
        <v>192.7255434</v>
      </c>
      <c r="S6" s="5">
        <f t="shared" si="7"/>
        <v>107.7917451</v>
      </c>
      <c r="T6" s="5">
        <f t="shared" si="8"/>
        <v>273.2917209</v>
      </c>
    </row>
    <row r="7">
      <c r="A7" s="1">
        <v>4.28481066488625</v>
      </c>
      <c r="B7" s="1">
        <v>-12.6319489885238</v>
      </c>
      <c r="C7" s="1">
        <v>1.00667142823205</v>
      </c>
      <c r="D7" s="1">
        <v>6.5</v>
      </c>
      <c r="E7" s="1">
        <v>3.0</v>
      </c>
      <c r="F7" s="1">
        <v>1.0</v>
      </c>
      <c r="G7" s="1">
        <v>1.0</v>
      </c>
      <c r="H7" s="1">
        <v>0.735945387087686</v>
      </c>
      <c r="I7" s="1">
        <v>-7.0</v>
      </c>
      <c r="J7" s="1">
        <v>11.0</v>
      </c>
      <c r="K7" s="1">
        <v>-1.0</v>
      </c>
      <c r="L7" s="1">
        <v>8.0</v>
      </c>
      <c r="M7" s="4">
        <f t="shared" si="1"/>
        <v>13.03840481</v>
      </c>
      <c r="N7" s="4">
        <f t="shared" si="2"/>
        <v>12.00499261</v>
      </c>
      <c r="O7" s="4">
        <f t="shared" si="3"/>
        <v>1.033412202</v>
      </c>
      <c r="P7" s="4">
        <f t="shared" si="4"/>
        <v>1.06794078</v>
      </c>
      <c r="Q7" s="5">
        <f t="shared" si="5"/>
        <v>295.0623336</v>
      </c>
      <c r="R7" s="5">
        <f t="shared" si="6"/>
        <v>217.4824436</v>
      </c>
      <c r="S7" s="5">
        <f t="shared" si="7"/>
        <v>77.57989</v>
      </c>
      <c r="T7" s="5">
        <f t="shared" si="8"/>
        <v>298.0486212</v>
      </c>
    </row>
    <row r="8">
      <c r="A8" s="1">
        <v>4.69948107849847</v>
      </c>
      <c r="B8" s="1">
        <v>-16.271464499025</v>
      </c>
      <c r="C8" s="1">
        <v>0.986789428475335</v>
      </c>
      <c r="D8" s="1">
        <v>10.0000002384186</v>
      </c>
      <c r="E8" s="1">
        <v>3.0</v>
      </c>
      <c r="F8" s="1">
        <v>0.877497395524216</v>
      </c>
      <c r="G8" s="1">
        <v>1.0</v>
      </c>
      <c r="H8" s="1">
        <v>0.877497395524216</v>
      </c>
      <c r="I8" s="1">
        <v>-8.0</v>
      </c>
      <c r="J8" s="1">
        <v>15.0</v>
      </c>
      <c r="K8" s="1">
        <v>0.0</v>
      </c>
      <c r="L8" s="1">
        <v>12.0</v>
      </c>
      <c r="M8" s="4">
        <f t="shared" si="1"/>
        <v>17</v>
      </c>
      <c r="N8" s="4">
        <f t="shared" si="2"/>
        <v>15.24286719</v>
      </c>
      <c r="O8" s="4">
        <f t="shared" si="3"/>
        <v>1.757132807</v>
      </c>
      <c r="P8" s="4">
        <f t="shared" si="4"/>
        <v>3.0875157</v>
      </c>
      <c r="Q8" s="5">
        <f t="shared" si="5"/>
        <v>303.858198</v>
      </c>
      <c r="R8" s="5">
        <f t="shared" si="6"/>
        <v>212.225769</v>
      </c>
      <c r="S8" s="5">
        <f t="shared" si="7"/>
        <v>91.63242903</v>
      </c>
      <c r="T8" s="5">
        <f t="shared" si="8"/>
        <v>292.7919466</v>
      </c>
    </row>
    <row r="9">
      <c r="A9" s="1">
        <v>4.66207186828476</v>
      </c>
      <c r="B9" s="1">
        <v>-22.5244747952765</v>
      </c>
      <c r="C9" s="1">
        <v>1.11968034667517</v>
      </c>
      <c r="D9" s="1">
        <v>25.3988494873047</v>
      </c>
      <c r="E9" s="1">
        <v>4.0</v>
      </c>
      <c r="F9" s="1">
        <v>1.0</v>
      </c>
      <c r="G9" s="1">
        <v>0.0</v>
      </c>
      <c r="H9" s="1">
        <v>0.0</v>
      </c>
      <c r="I9" s="1">
        <v>-9.0</v>
      </c>
      <c r="J9" s="1">
        <v>19.0</v>
      </c>
      <c r="K9" s="1">
        <v>-6.0</v>
      </c>
      <c r="L9" s="1">
        <v>29.0</v>
      </c>
      <c r="M9" s="4">
        <f t="shared" si="1"/>
        <v>21.02379604</v>
      </c>
      <c r="N9" s="4">
        <f t="shared" si="2"/>
        <v>20.70169973</v>
      </c>
      <c r="O9" s="4">
        <f t="shared" si="3"/>
        <v>0.3220963067</v>
      </c>
      <c r="P9" s="4">
        <f t="shared" si="4"/>
        <v>0.1037460308</v>
      </c>
      <c r="Q9" s="5">
        <f t="shared" si="5"/>
        <v>309.3099813</v>
      </c>
      <c r="R9" s="5">
        <f t="shared" si="6"/>
        <v>203.3925722</v>
      </c>
      <c r="S9" s="5">
        <f t="shared" si="7"/>
        <v>105.9174091</v>
      </c>
      <c r="T9" s="5">
        <f t="shared" si="8"/>
        <v>283.9587498</v>
      </c>
    </row>
    <row r="10">
      <c r="A10" s="1">
        <v>7.92255926638246</v>
      </c>
      <c r="B10" s="1">
        <v>-25.4871840397043</v>
      </c>
      <c r="C10" s="1">
        <v>1.09029146850002</v>
      </c>
      <c r="D10" s="1">
        <v>7.89884948730469</v>
      </c>
      <c r="E10" s="1">
        <v>4.0</v>
      </c>
      <c r="F10" s="1">
        <v>0.867102398431301</v>
      </c>
      <c r="G10" s="1">
        <v>1.0</v>
      </c>
      <c r="H10" s="1">
        <v>0.867102398431301</v>
      </c>
      <c r="I10" s="1">
        <v>-12.0</v>
      </c>
      <c r="J10" s="1">
        <v>22.0</v>
      </c>
      <c r="K10" s="1">
        <v>-5.0</v>
      </c>
      <c r="L10" s="1">
        <v>10.0</v>
      </c>
      <c r="M10" s="4">
        <f t="shared" si="1"/>
        <v>25.05992817</v>
      </c>
      <c r="N10" s="4">
        <f t="shared" si="2"/>
        <v>24.02112469</v>
      </c>
      <c r="O10" s="4">
        <f t="shared" si="3"/>
        <v>1.038803481</v>
      </c>
      <c r="P10" s="4">
        <f t="shared" si="4"/>
        <v>1.079112672</v>
      </c>
      <c r="Q10" s="5">
        <f t="shared" si="5"/>
        <v>302.7812702</v>
      </c>
      <c r="R10" s="5">
        <f t="shared" si="6"/>
        <v>214.5392732</v>
      </c>
      <c r="S10" s="5">
        <f t="shared" si="7"/>
        <v>88.24199704</v>
      </c>
      <c r="T10" s="5">
        <f t="shared" si="8"/>
        <v>295.1054508</v>
      </c>
    </row>
    <row r="11">
      <c r="A11" s="1">
        <v>8.98616571591115</v>
      </c>
      <c r="B11" s="1">
        <v>-27.2066878537965</v>
      </c>
      <c r="C11" s="1">
        <v>1.11225993206611</v>
      </c>
      <c r="D11" s="1">
        <v>11.8988485336304</v>
      </c>
      <c r="E11" s="1">
        <v>5.0</v>
      </c>
      <c r="F11" s="1">
        <v>1.0</v>
      </c>
      <c r="G11" s="1">
        <v>1.0</v>
      </c>
      <c r="H11" s="1">
        <v>0.809628918181794</v>
      </c>
      <c r="I11" s="1">
        <v>-13.0</v>
      </c>
      <c r="J11" s="1">
        <v>24.0</v>
      </c>
      <c r="K11" s="1">
        <v>-6.0</v>
      </c>
      <c r="L11" s="1">
        <v>15.0</v>
      </c>
      <c r="M11" s="4">
        <f t="shared" si="1"/>
        <v>27.29468813</v>
      </c>
      <c r="N11" s="4">
        <f t="shared" si="2"/>
        <v>25.78708167</v>
      </c>
      <c r="O11" s="4">
        <f t="shared" si="3"/>
        <v>1.507606459</v>
      </c>
      <c r="P11" s="4">
        <f t="shared" si="4"/>
        <v>2.272877236</v>
      </c>
      <c r="Q11" s="5">
        <f t="shared" si="5"/>
        <v>303.1161423</v>
      </c>
      <c r="R11" s="5">
        <f t="shared" si="6"/>
        <v>216.5598041</v>
      </c>
      <c r="S11" s="5">
        <f t="shared" si="7"/>
        <v>86.55633817</v>
      </c>
      <c r="T11" s="5">
        <f t="shared" si="8"/>
        <v>297.1259817</v>
      </c>
    </row>
    <row r="12">
      <c r="A12" s="1">
        <v>11.7679802239602</v>
      </c>
      <c r="B12" s="1">
        <v>-30.8700353675854</v>
      </c>
      <c r="C12" s="1">
        <v>1.02015350523952</v>
      </c>
      <c r="D12" s="1">
        <v>7.39884853363037</v>
      </c>
      <c r="E12" s="1">
        <v>5.0</v>
      </c>
      <c r="F12" s="1">
        <v>0.856192721977944</v>
      </c>
      <c r="G12" s="1">
        <v>1.0</v>
      </c>
      <c r="H12" s="1">
        <v>0.856192721977944</v>
      </c>
      <c r="I12" s="1">
        <v>-16.0</v>
      </c>
      <c r="J12" s="1">
        <v>26.0</v>
      </c>
      <c r="K12" s="1">
        <v>-2.0</v>
      </c>
      <c r="L12" s="1">
        <v>10.0</v>
      </c>
      <c r="M12" s="4">
        <f t="shared" si="1"/>
        <v>30.52867504</v>
      </c>
      <c r="N12" s="4">
        <f t="shared" si="2"/>
        <v>29.73331462</v>
      </c>
      <c r="O12" s="4">
        <f t="shared" si="3"/>
        <v>0.7953604275</v>
      </c>
      <c r="P12" s="4">
        <f t="shared" si="4"/>
        <v>0.6325982097</v>
      </c>
      <c r="Q12" s="5">
        <f t="shared" si="5"/>
        <v>296.7869627</v>
      </c>
      <c r="R12" s="5">
        <f t="shared" si="6"/>
        <v>221.7379801</v>
      </c>
      <c r="S12" s="5">
        <f t="shared" si="7"/>
        <v>75.04898258</v>
      </c>
      <c r="T12" s="5">
        <f t="shared" si="8"/>
        <v>302.3041577</v>
      </c>
    </row>
    <row r="13">
      <c r="A13" s="1">
        <v>12.0232598281123</v>
      </c>
      <c r="B13" s="1">
        <v>-34.2617929839233</v>
      </c>
      <c r="C13" s="1">
        <v>1.05464008028161</v>
      </c>
      <c r="D13" s="1">
        <v>9.89884853363037</v>
      </c>
      <c r="E13" s="1">
        <v>6.0</v>
      </c>
      <c r="F13" s="1">
        <v>1.0</v>
      </c>
      <c r="G13" s="1">
        <v>1.0</v>
      </c>
      <c r="H13" s="1">
        <v>0.763685610941356</v>
      </c>
      <c r="I13" s="1">
        <v>-17.0</v>
      </c>
      <c r="J13" s="1">
        <v>29.0</v>
      </c>
      <c r="K13" s="1">
        <v>-4.0</v>
      </c>
      <c r="L13" s="1">
        <v>13.0</v>
      </c>
      <c r="M13" s="4">
        <f t="shared" si="1"/>
        <v>33.61547263</v>
      </c>
      <c r="N13" s="4">
        <f t="shared" si="2"/>
        <v>32.67916279</v>
      </c>
      <c r="O13" s="4">
        <f t="shared" si="3"/>
        <v>0.9363098381</v>
      </c>
      <c r="P13" s="4">
        <f t="shared" si="4"/>
        <v>0.8766761128</v>
      </c>
      <c r="Q13" s="5">
        <f t="shared" si="5"/>
        <v>299.2434719</v>
      </c>
      <c r="R13" s="5">
        <f t="shared" si="6"/>
        <v>218.6772943</v>
      </c>
      <c r="S13" s="5">
        <f t="shared" si="7"/>
        <v>80.56617757</v>
      </c>
      <c r="T13" s="5">
        <f t="shared" si="8"/>
        <v>299.2434719</v>
      </c>
    </row>
    <row r="14">
      <c r="A14" s="1">
        <v>13.7781943508539</v>
      </c>
      <c r="B14" s="1">
        <v>-35.7001117183962</v>
      </c>
      <c r="C14" s="1">
        <v>0.97375845612564</v>
      </c>
      <c r="D14" s="1">
        <v>0.898848533630371</v>
      </c>
      <c r="E14" s="1">
        <v>6.0</v>
      </c>
      <c r="F14" s="1">
        <v>0.925424157013381</v>
      </c>
      <c r="G14" s="1">
        <v>1.0</v>
      </c>
      <c r="H14" s="1">
        <v>0.925424157013381</v>
      </c>
      <c r="I14" s="1">
        <v>-18.0</v>
      </c>
      <c r="J14" s="1">
        <v>32.0</v>
      </c>
      <c r="K14" s="1">
        <v>0.0</v>
      </c>
      <c r="L14" s="1">
        <v>2.0</v>
      </c>
      <c r="M14" s="4">
        <f t="shared" si="1"/>
        <v>36.7151195</v>
      </c>
      <c r="N14" s="4">
        <f t="shared" si="2"/>
        <v>34.43998634</v>
      </c>
      <c r="O14" s="4">
        <f t="shared" si="3"/>
        <v>2.27513316</v>
      </c>
      <c r="P14" s="4">
        <f t="shared" si="4"/>
        <v>5.176230896</v>
      </c>
      <c r="Q14" s="5">
        <f t="shared" si="5"/>
        <v>301.286023</v>
      </c>
      <c r="R14" s="5">
        <f t="shared" si="6"/>
        <v>222.2102467</v>
      </c>
      <c r="S14" s="5">
        <f t="shared" si="7"/>
        <v>79.07577634</v>
      </c>
      <c r="T14" s="5">
        <f t="shared" si="8"/>
        <v>302.7764243</v>
      </c>
    </row>
    <row r="15">
      <c r="A15" s="1">
        <v>15.3791945887676</v>
      </c>
      <c r="B15" s="1">
        <v>-42.3989961266271</v>
      </c>
      <c r="C15" s="1">
        <v>1.03381087684039</v>
      </c>
      <c r="D15" s="1">
        <v>11.8988332748413</v>
      </c>
      <c r="E15" s="1">
        <v>7.0</v>
      </c>
      <c r="F15" s="1">
        <v>1.0</v>
      </c>
      <c r="G15" s="1">
        <v>1.0</v>
      </c>
      <c r="H15" s="1">
        <v>0.719024080791584</v>
      </c>
      <c r="I15" s="1">
        <v>-21.0</v>
      </c>
      <c r="J15" s="1">
        <v>35.0</v>
      </c>
      <c r="K15" s="1">
        <v>-3.0</v>
      </c>
      <c r="L15" s="1">
        <v>16.0</v>
      </c>
      <c r="M15" s="4">
        <f t="shared" si="1"/>
        <v>40.81666326</v>
      </c>
      <c r="N15" s="4">
        <f t="shared" si="2"/>
        <v>40.59184085</v>
      </c>
      <c r="O15" s="4">
        <f t="shared" si="3"/>
        <v>0.2248224091</v>
      </c>
      <c r="P15" s="4">
        <f t="shared" si="4"/>
        <v>0.05054511563</v>
      </c>
      <c r="Q15" s="5">
        <f t="shared" si="5"/>
        <v>298.0739313</v>
      </c>
      <c r="R15" s="5">
        <f t="shared" si="6"/>
        <v>219.8763814</v>
      </c>
      <c r="S15" s="5">
        <f t="shared" si="7"/>
        <v>78.19754998</v>
      </c>
      <c r="T15" s="5">
        <f t="shared" si="8"/>
        <v>300.4425589</v>
      </c>
    </row>
    <row r="16">
      <c r="A16" s="1">
        <v>16.951709913922</v>
      </c>
      <c r="B16" s="1">
        <v>-43.1179674587469</v>
      </c>
      <c r="C16" s="1">
        <v>0.973758681022449</v>
      </c>
      <c r="D16" s="1">
        <v>1.39883327484131</v>
      </c>
      <c r="E16" s="1">
        <v>7.0</v>
      </c>
      <c r="F16" s="1">
        <v>0.942581253856511</v>
      </c>
      <c r="G16" s="1">
        <v>1.0</v>
      </c>
      <c r="H16" s="1">
        <v>0.942581253856511</v>
      </c>
      <c r="I16" s="1">
        <v>-22.0</v>
      </c>
      <c r="J16" s="1">
        <v>37.0</v>
      </c>
      <c r="K16" s="1">
        <v>0.0</v>
      </c>
      <c r="L16" s="1">
        <v>4.0</v>
      </c>
      <c r="M16" s="4">
        <f t="shared" si="1"/>
        <v>43.0464865</v>
      </c>
      <c r="N16" s="4">
        <f t="shared" si="2"/>
        <v>41.69749231</v>
      </c>
      <c r="O16" s="4">
        <f t="shared" si="3"/>
        <v>1.348994186</v>
      </c>
      <c r="P16" s="4">
        <f t="shared" si="4"/>
        <v>1.819785314</v>
      </c>
      <c r="Q16" s="5">
        <f t="shared" si="5"/>
        <v>298.5303851</v>
      </c>
      <c r="R16" s="5">
        <f t="shared" si="6"/>
        <v>222.9265697</v>
      </c>
      <c r="S16" s="5">
        <f t="shared" si="7"/>
        <v>75.60381532</v>
      </c>
      <c r="T16" s="5">
        <f t="shared" si="8"/>
        <v>303.4927473</v>
      </c>
    </row>
    <row r="17">
      <c r="A17" s="1">
        <v>19.3374141742706</v>
      </c>
      <c r="B17" s="1">
        <v>-46.8165467186344</v>
      </c>
      <c r="C17" s="1">
        <v>1.08306726090848</v>
      </c>
      <c r="D17" s="1">
        <v>10.8988180160522</v>
      </c>
      <c r="E17" s="1">
        <v>8.0</v>
      </c>
      <c r="F17" s="1">
        <v>1.0</v>
      </c>
      <c r="G17" s="1">
        <v>1.0</v>
      </c>
      <c r="H17" s="1">
        <v>0.813200924523425</v>
      </c>
      <c r="I17" s="1">
        <v>-25.0</v>
      </c>
      <c r="J17" s="1">
        <v>39.0</v>
      </c>
      <c r="K17" s="1">
        <v>-5.0</v>
      </c>
      <c r="L17" s="1">
        <v>15.0</v>
      </c>
      <c r="M17" s="4">
        <f t="shared" si="1"/>
        <v>46.32493929</v>
      </c>
      <c r="N17" s="4">
        <f t="shared" si="2"/>
        <v>45.58768423</v>
      </c>
      <c r="O17" s="4">
        <f t="shared" si="3"/>
        <v>0.7372550602</v>
      </c>
      <c r="P17" s="4">
        <f t="shared" si="4"/>
        <v>0.5435450237</v>
      </c>
      <c r="Q17" s="5">
        <f t="shared" si="5"/>
        <v>294.6795095</v>
      </c>
      <c r="R17" s="5">
        <f t="shared" si="6"/>
        <v>224.8879006</v>
      </c>
      <c r="S17" s="5">
        <f t="shared" si="7"/>
        <v>69.79160889</v>
      </c>
      <c r="T17" s="5">
        <f t="shared" si="8"/>
        <v>305.4540782</v>
      </c>
    </row>
    <row r="18">
      <c r="A18" s="1">
        <v>21.1123559901061</v>
      </c>
      <c r="B18" s="1">
        <v>-50.23583932598</v>
      </c>
      <c r="C18" s="1">
        <v>0.973758796036035</v>
      </c>
      <c r="D18" s="1">
        <v>22.8988189697266</v>
      </c>
      <c r="E18" s="1">
        <v>8.0</v>
      </c>
      <c r="F18" s="1">
        <v>0.875130290305376</v>
      </c>
      <c r="G18" s="1">
        <v>1.0</v>
      </c>
      <c r="H18" s="1">
        <v>0.875130290305376</v>
      </c>
      <c r="I18" s="1">
        <v>-28.0</v>
      </c>
      <c r="J18" s="1">
        <v>42.0</v>
      </c>
      <c r="K18" s="1">
        <v>0.0</v>
      </c>
      <c r="L18" s="1">
        <v>28.0</v>
      </c>
      <c r="M18" s="4">
        <f t="shared" si="1"/>
        <v>50.47771786</v>
      </c>
      <c r="N18" s="4">
        <f t="shared" si="2"/>
        <v>49.04274272</v>
      </c>
      <c r="O18" s="4">
        <f t="shared" si="3"/>
        <v>1.434975133</v>
      </c>
      <c r="P18" s="4">
        <f t="shared" si="4"/>
        <v>2.059153631</v>
      </c>
      <c r="Q18" s="5">
        <f t="shared" si="5"/>
        <v>292.6211242</v>
      </c>
      <c r="R18" s="5">
        <f t="shared" si="6"/>
        <v>225.5925435</v>
      </c>
      <c r="S18" s="5">
        <f t="shared" si="7"/>
        <v>67.02858071</v>
      </c>
      <c r="T18" s="5">
        <f t="shared" si="8"/>
        <v>306.158721</v>
      </c>
    </row>
    <row r="19">
      <c r="A19" s="1">
        <v>24.5504053267734</v>
      </c>
      <c r="B19" s="1">
        <v>-55.2742970090971</v>
      </c>
      <c r="C19" s="1">
        <v>1.03381102636947</v>
      </c>
      <c r="D19" s="1">
        <v>14.3988182544708</v>
      </c>
      <c r="E19" s="1">
        <v>9.0</v>
      </c>
      <c r="F19" s="1">
        <v>1.0</v>
      </c>
      <c r="G19" s="1">
        <v>0.0</v>
      </c>
      <c r="H19" s="1">
        <v>0.0</v>
      </c>
      <c r="I19" s="1">
        <v>-31.0</v>
      </c>
      <c r="J19" s="1">
        <v>46.0</v>
      </c>
      <c r="K19" s="1">
        <v>-3.0</v>
      </c>
      <c r="L19" s="1">
        <v>19.0</v>
      </c>
      <c r="M19" s="4">
        <f t="shared" si="1"/>
        <v>55.47071299</v>
      </c>
      <c r="N19" s="4">
        <f t="shared" si="2"/>
        <v>54.433041</v>
      </c>
      <c r="O19" s="4">
        <f t="shared" si="3"/>
        <v>1.037671995</v>
      </c>
      <c r="P19" s="4">
        <f t="shared" si="4"/>
        <v>1.076763169</v>
      </c>
      <c r="Q19" s="5">
        <f t="shared" si="5"/>
        <v>292.0480664</v>
      </c>
      <c r="R19" s="5">
        <f t="shared" si="6"/>
        <v>227.8990961</v>
      </c>
      <c r="S19" s="5">
        <f t="shared" si="7"/>
        <v>64.1489703</v>
      </c>
      <c r="T19" s="5">
        <f t="shared" si="8"/>
        <v>308.4652737</v>
      </c>
    </row>
    <row r="20">
      <c r="A20" s="1">
        <v>26.0174095780267</v>
      </c>
      <c r="B20" s="1">
        <v>-57.5815785289599</v>
      </c>
      <c r="C20" s="1">
        <v>0.993378240720959</v>
      </c>
      <c r="D20" s="1">
        <v>2.39881730079651</v>
      </c>
      <c r="E20" s="1">
        <v>9.0</v>
      </c>
      <c r="F20" s="1">
        <v>0.910083600577898</v>
      </c>
      <c r="G20" s="1">
        <v>1.0</v>
      </c>
      <c r="H20" s="1">
        <v>0.910083600577898</v>
      </c>
      <c r="I20" s="1">
        <v>-32.0</v>
      </c>
      <c r="J20" s="1">
        <v>49.0</v>
      </c>
      <c r="K20" s="1">
        <v>-1.0</v>
      </c>
      <c r="L20" s="1">
        <v>5.0</v>
      </c>
      <c r="M20" s="4">
        <f t="shared" si="1"/>
        <v>58.52349955</v>
      </c>
      <c r="N20" s="4">
        <f t="shared" si="2"/>
        <v>56.86792125</v>
      </c>
      <c r="O20" s="4">
        <f t="shared" si="3"/>
        <v>1.655578302</v>
      </c>
      <c r="P20" s="4">
        <f t="shared" si="4"/>
        <v>2.740939513</v>
      </c>
      <c r="Q20" s="5">
        <f t="shared" si="5"/>
        <v>293.707079</v>
      </c>
      <c r="R20" s="5">
        <f t="shared" si="6"/>
        <v>228.6319497</v>
      </c>
      <c r="S20" s="5">
        <f t="shared" si="7"/>
        <v>65.07512928</v>
      </c>
      <c r="T20" s="5">
        <f t="shared" si="8"/>
        <v>309.1981272</v>
      </c>
    </row>
    <row r="21">
      <c r="A21" s="1">
        <v>26.0418833724231</v>
      </c>
      <c r="B21" s="1">
        <v>-61.5699522592663</v>
      </c>
      <c r="C21" s="1">
        <v>1.07588931086881</v>
      </c>
      <c r="D21" s="1">
        <v>8.39874196052551</v>
      </c>
      <c r="E21" s="1">
        <v>10.0</v>
      </c>
      <c r="F21" s="1">
        <v>1.0</v>
      </c>
      <c r="G21" s="1">
        <v>1.0</v>
      </c>
      <c r="H21" s="1">
        <v>0.795550313625042</v>
      </c>
      <c r="I21" s="1">
        <v>-33.0</v>
      </c>
      <c r="J21" s="1">
        <v>53.0</v>
      </c>
      <c r="K21" s="1">
        <v>-5.0</v>
      </c>
      <c r="L21" s="1">
        <v>12.0</v>
      </c>
      <c r="M21" s="4">
        <f t="shared" si="1"/>
        <v>62.43396512</v>
      </c>
      <c r="N21" s="4">
        <f t="shared" si="2"/>
        <v>60.16578227</v>
      </c>
      <c r="O21" s="4">
        <f t="shared" si="3"/>
        <v>2.268182849</v>
      </c>
      <c r="P21" s="4">
        <f t="shared" si="4"/>
        <v>5.144653435</v>
      </c>
      <c r="Q21" s="5">
        <f t="shared" si="5"/>
        <v>296.1847562</v>
      </c>
      <c r="R21" s="5">
        <f t="shared" si="6"/>
        <v>225.8548196</v>
      </c>
      <c r="S21" s="5">
        <f t="shared" si="7"/>
        <v>70.32993665</v>
      </c>
      <c r="T21" s="5">
        <f t="shared" si="8"/>
        <v>306.4209972</v>
      </c>
    </row>
    <row r="22">
      <c r="Q22" s="5"/>
      <c r="S22" s="5">
        <f> MEDIAN(S2:S18)</f>
        <v>80.56617757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