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<sst xmlns="http://schemas.openxmlformats.org/spreadsheetml/2006/main" count="20" uniqueCount="20">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</sst>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689365064"/>
        <c:axId val="337390627"/>
      </c:lineChart>
      <c:catAx>
        <c:axId val="1689365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390627"/>
      </c:catAx>
      <c:valAx>
        <c:axId val="337390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9365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537959929"/>
        <c:axId val="1126928169"/>
      </c:lineChart>
      <c:catAx>
        <c:axId val="537959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928169"/>
      </c:catAx>
      <c:valAx>
        <c:axId val="1126928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959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26627"/>
        <c:axId val="1967914548"/>
      </c:scatterChart>
      <c:valAx>
        <c:axId val="93426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914548"/>
      </c:valAx>
      <c:valAx>
        <c:axId val="1967914548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26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03556"/>
        <c:axId val="1400382643"/>
      </c:scatterChart>
      <c:valAx>
        <c:axId val="17893035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382643"/>
      </c:valAx>
      <c:valAx>
        <c:axId val="1400382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303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5.06250008940697</v>
      </c>
      <c r="B2" s="1">
        <v>-0.500000026077032</v>
      </c>
      <c r="C2" s="1">
        <v>1.11225414276123</v>
      </c>
      <c r="D2" s="1">
        <v>352.942352294922</v>
      </c>
      <c r="E2" s="1">
        <v>1.0</v>
      </c>
      <c r="F2" s="1">
        <v>1.0</v>
      </c>
      <c r="G2" s="1">
        <v>1.0</v>
      </c>
      <c r="H2" s="1">
        <v>0.839440673833306</v>
      </c>
      <c r="I2" s="1">
        <v>0.0</v>
      </c>
      <c r="J2" s="1">
        <v>2.0</v>
      </c>
      <c r="K2" s="1">
        <v>-5.0</v>
      </c>
      <c r="L2" s="1">
        <v>358.0</v>
      </c>
      <c r="M2" s="4">
        <f t="shared" ref="M2:M21" si="1">SQRT(I2*I2 + J2*J2)</f>
        <v>2</v>
      </c>
      <c r="N2" s="4">
        <f t="shared" ref="N2:N21" si="2">SQRT(A2*A2 + B2*B2) * 0.9</f>
        <v>4.578418375</v>
      </c>
      <c r="O2" s="4">
        <f t="shared" ref="O2:O21" si="3"> (M2 - N2)</f>
        <v>-2.578418375</v>
      </c>
      <c r="P2" s="4">
        <f t="shared" ref="P2:P21" si="4"> O2 * O2</f>
        <v>6.648241317</v>
      </c>
      <c r="Q2" s="5">
        <f t="shared" ref="Q2:Q21" si="5">MOD(ATAN(I2 / (J2 + 0.001)) / PI() * 360, 360)</f>
        <v>0</v>
      </c>
      <c r="R2" s="5">
        <f t="shared" ref="R2:R21" si="6">MOD(ATAN(B2 / (A2 + 0.001)) / PI() * 360, 360)</f>
        <v>348.7211143</v>
      </c>
      <c r="S2" s="5">
        <f t="shared" ref="S2:S21" si="7">Q2 - R2</f>
        <v>-348.7211143</v>
      </c>
      <c r="T2" s="5">
        <f t="shared" ref="T2:T21" si="8"> R2 + S$22</f>
        <v>495.3083519</v>
      </c>
    </row>
    <row r="3">
      <c r="A3" s="1">
        <v>8.16972192964742</v>
      </c>
      <c r="B3" s="1">
        <v>3.87434491278893</v>
      </c>
      <c r="C3" s="1">
        <v>1.11225402355194</v>
      </c>
      <c r="D3" s="1">
        <v>-6.52881622314455</v>
      </c>
      <c r="E3" s="1">
        <v>2.0</v>
      </c>
      <c r="F3" s="1">
        <v>1.0</v>
      </c>
      <c r="G3" s="1">
        <v>2.0</v>
      </c>
      <c r="H3" s="1">
        <v>0.776909950037734</v>
      </c>
      <c r="I3" s="1">
        <v>-4.0</v>
      </c>
      <c r="J3" s="1">
        <v>6.0</v>
      </c>
      <c r="K3" s="1">
        <v>-5.0</v>
      </c>
      <c r="L3" s="1">
        <v>359.0</v>
      </c>
      <c r="M3" s="4">
        <f t="shared" si="1"/>
        <v>7.211102551</v>
      </c>
      <c r="N3" s="4">
        <f t="shared" si="2"/>
        <v>8.137657708</v>
      </c>
      <c r="O3" s="4">
        <f t="shared" si="3"/>
        <v>-0.9265551574</v>
      </c>
      <c r="P3" s="4">
        <f t="shared" si="4"/>
        <v>0.8585044597</v>
      </c>
      <c r="Q3" s="5">
        <f t="shared" si="5"/>
        <v>292.6286787</v>
      </c>
      <c r="R3" s="5">
        <f t="shared" si="6"/>
        <v>50.73819504</v>
      </c>
      <c r="S3" s="5">
        <f t="shared" si="7"/>
        <v>241.8904836</v>
      </c>
      <c r="T3" s="5">
        <f t="shared" si="8"/>
        <v>197.3254327</v>
      </c>
    </row>
    <row r="4">
      <c r="A4" s="1">
        <v>11.0530488990662</v>
      </c>
      <c r="B4" s="1">
        <v>4.09546918093069</v>
      </c>
      <c r="C4" s="1">
        <v>1.0407018369409</v>
      </c>
      <c r="D4" s="1">
        <v>-0.543200969696073</v>
      </c>
      <c r="E4" s="1">
        <v>2.0</v>
      </c>
      <c r="F4" s="1">
        <v>0.910455088731342</v>
      </c>
      <c r="G4" s="1">
        <v>2.0</v>
      </c>
      <c r="H4" s="1">
        <v>0.838331418836006</v>
      </c>
      <c r="I4" s="1">
        <v>-4.0</v>
      </c>
      <c r="J4" s="1">
        <v>11.0</v>
      </c>
      <c r="K4" s="1">
        <v>-2.0</v>
      </c>
      <c r="L4" s="1">
        <v>0.0</v>
      </c>
      <c r="M4" s="4">
        <f t="shared" si="1"/>
        <v>11.70469991</v>
      </c>
      <c r="N4" s="4">
        <f t="shared" si="2"/>
        <v>10.60865844</v>
      </c>
      <c r="O4" s="4">
        <f t="shared" si="3"/>
        <v>1.096041475</v>
      </c>
      <c r="P4" s="4">
        <f t="shared" si="4"/>
        <v>1.201306916</v>
      </c>
      <c r="Q4" s="5">
        <f t="shared" si="5"/>
        <v>320.0371324</v>
      </c>
      <c r="R4" s="5">
        <f t="shared" si="6"/>
        <v>40.65882584</v>
      </c>
      <c r="S4" s="5">
        <f t="shared" si="7"/>
        <v>279.3783066</v>
      </c>
      <c r="T4" s="5">
        <f t="shared" si="8"/>
        <v>187.2460635</v>
      </c>
    </row>
    <row r="5">
      <c r="A5" s="1">
        <v>10.051308341331</v>
      </c>
      <c r="B5" s="1">
        <v>9.93705521324753</v>
      </c>
      <c r="C5" s="1">
        <v>1.09028674246549</v>
      </c>
      <c r="D5" s="1">
        <v>359.971184253693</v>
      </c>
      <c r="E5" s="1">
        <v>3.0</v>
      </c>
      <c r="F5" s="1">
        <v>1.0</v>
      </c>
      <c r="G5" s="1">
        <v>1.0</v>
      </c>
      <c r="H5" s="1">
        <v>0.807858935366954</v>
      </c>
      <c r="I5" s="1">
        <v>-9.0</v>
      </c>
      <c r="J5" s="1">
        <v>10.0</v>
      </c>
      <c r="K5" s="1">
        <v>-4.0</v>
      </c>
      <c r="L5" s="1">
        <v>1.0</v>
      </c>
      <c r="M5" s="4">
        <f t="shared" si="1"/>
        <v>13.45362405</v>
      </c>
      <c r="N5" s="4">
        <f t="shared" si="2"/>
        <v>12.72072448</v>
      </c>
      <c r="O5" s="4">
        <f t="shared" si="3"/>
        <v>0.7328995707</v>
      </c>
      <c r="P5" s="4">
        <f t="shared" si="4"/>
        <v>0.5371417807</v>
      </c>
      <c r="Q5" s="5">
        <f t="shared" si="5"/>
        <v>276.0312726</v>
      </c>
      <c r="R5" s="5">
        <f t="shared" si="6"/>
        <v>89.33930416</v>
      </c>
      <c r="S5" s="5">
        <f t="shared" si="7"/>
        <v>186.6919685</v>
      </c>
      <c r="T5" s="5">
        <f t="shared" si="8"/>
        <v>235.9265418</v>
      </c>
    </row>
    <row r="6">
      <c r="A6" s="1">
        <v>8.89511085573394</v>
      </c>
      <c r="B6" s="1">
        <v>10.1183306931443</v>
      </c>
      <c r="C6" s="1">
        <v>1.04070219454593</v>
      </c>
      <c r="D6" s="1">
        <v>-0.0288157463073683</v>
      </c>
      <c r="E6" s="1">
        <v>3.0</v>
      </c>
      <c r="F6" s="1">
        <v>0.96338720450359</v>
      </c>
      <c r="G6" s="1">
        <v>2.0</v>
      </c>
      <c r="H6" s="1">
        <v>0.884370362349961</v>
      </c>
      <c r="I6" s="1">
        <v>-9.0</v>
      </c>
      <c r="J6" s="1">
        <v>9.0</v>
      </c>
      <c r="K6" s="1">
        <v>-2.0</v>
      </c>
      <c r="L6" s="1">
        <v>1.0</v>
      </c>
      <c r="M6" s="4">
        <f t="shared" si="1"/>
        <v>12.72792206</v>
      </c>
      <c r="N6" s="4">
        <f t="shared" si="2"/>
        <v>12.12509491</v>
      </c>
      <c r="O6" s="4">
        <f t="shared" si="3"/>
        <v>0.6028271482</v>
      </c>
      <c r="P6" s="4">
        <f t="shared" si="4"/>
        <v>0.3634005706</v>
      </c>
      <c r="Q6" s="5">
        <f t="shared" si="5"/>
        <v>270.0063658</v>
      </c>
      <c r="R6" s="5">
        <f t="shared" si="6"/>
        <v>97.35565449</v>
      </c>
      <c r="S6" s="5">
        <f t="shared" si="7"/>
        <v>172.6507114</v>
      </c>
      <c r="T6" s="5">
        <f t="shared" si="8"/>
        <v>243.9428921</v>
      </c>
    </row>
    <row r="7">
      <c r="A7" s="1">
        <v>8.79299862088224</v>
      </c>
      <c r="B7" s="1">
        <v>15.555476940976</v>
      </c>
      <c r="C7" s="1">
        <v>1.11967439110501</v>
      </c>
      <c r="D7" s="1">
        <v>359.971184253693</v>
      </c>
      <c r="E7" s="1">
        <v>4.0</v>
      </c>
      <c r="F7" s="1">
        <v>1.0</v>
      </c>
      <c r="G7" s="1">
        <v>1.0</v>
      </c>
      <c r="H7" s="1">
        <v>0.826313560986206</v>
      </c>
      <c r="I7" s="1">
        <v>-14.0</v>
      </c>
      <c r="J7" s="1">
        <v>9.0</v>
      </c>
      <c r="K7" s="1">
        <v>-5.0</v>
      </c>
      <c r="L7" s="1">
        <v>1.0</v>
      </c>
      <c r="M7" s="4">
        <f t="shared" si="1"/>
        <v>16.64331698</v>
      </c>
      <c r="N7" s="4">
        <f t="shared" si="2"/>
        <v>16.08181106</v>
      </c>
      <c r="O7" s="4">
        <f t="shared" si="3"/>
        <v>0.5615059173</v>
      </c>
      <c r="P7" s="4">
        <f t="shared" si="4"/>
        <v>0.3152888952</v>
      </c>
      <c r="Q7" s="5">
        <f t="shared" si="5"/>
        <v>245.476244</v>
      </c>
      <c r="R7" s="5">
        <f t="shared" si="6"/>
        <v>121.0383264</v>
      </c>
      <c r="S7" s="5">
        <f t="shared" si="7"/>
        <v>124.4379176</v>
      </c>
      <c r="T7" s="5">
        <f t="shared" si="8"/>
        <v>267.6255641</v>
      </c>
    </row>
    <row r="8">
      <c r="A8" s="1">
        <v>7.66979504793617</v>
      </c>
      <c r="B8" s="1">
        <v>15.7257580274703</v>
      </c>
      <c r="C8" s="1">
        <v>1.02695396896022</v>
      </c>
      <c r="D8" s="1">
        <v>0.471184253692627</v>
      </c>
      <c r="E8" s="1">
        <v>4.0</v>
      </c>
      <c r="F8" s="1">
        <v>0.964718692964526</v>
      </c>
      <c r="G8" s="1">
        <v>2.0</v>
      </c>
      <c r="H8" s="1">
        <v>0.883812092777651</v>
      </c>
      <c r="I8" s="1">
        <v>-14.0</v>
      </c>
      <c r="J8" s="1">
        <v>8.0</v>
      </c>
      <c r="K8" s="1">
        <v>-1.0</v>
      </c>
      <c r="L8" s="1">
        <v>2.0</v>
      </c>
      <c r="M8" s="4">
        <f t="shared" si="1"/>
        <v>16.1245155</v>
      </c>
      <c r="N8" s="4">
        <f t="shared" si="2"/>
        <v>15.74679109</v>
      </c>
      <c r="O8" s="4">
        <f t="shared" si="3"/>
        <v>0.3777244105</v>
      </c>
      <c r="P8" s="4">
        <f t="shared" si="4"/>
        <v>0.1426757303</v>
      </c>
      <c r="Q8" s="5">
        <f t="shared" si="5"/>
        <v>239.4959327</v>
      </c>
      <c r="R8" s="5">
        <f t="shared" si="6"/>
        <v>127.995112</v>
      </c>
      <c r="S8" s="5">
        <f t="shared" si="7"/>
        <v>111.5008207</v>
      </c>
      <c r="T8" s="5">
        <f t="shared" si="8"/>
        <v>274.5823497</v>
      </c>
    </row>
    <row r="9">
      <c r="A9" s="1">
        <v>13.094309564406</v>
      </c>
      <c r="B9" s="1">
        <v>21.1718104091848</v>
      </c>
      <c r="C9" s="1">
        <v>1.15972200630934</v>
      </c>
      <c r="D9" s="1">
        <v>0.42664384841919</v>
      </c>
      <c r="E9" s="1">
        <v>5.0</v>
      </c>
      <c r="F9" s="1">
        <v>1.0</v>
      </c>
      <c r="G9" s="1">
        <v>1.0</v>
      </c>
      <c r="H9" s="1">
        <v>0.793096916590932</v>
      </c>
      <c r="I9" s="1">
        <v>-19.0</v>
      </c>
      <c r="J9" s="1">
        <v>13.0</v>
      </c>
      <c r="K9" s="1">
        <v>-7.0</v>
      </c>
      <c r="L9" s="1">
        <v>2.0</v>
      </c>
      <c r="M9" s="4">
        <f t="shared" si="1"/>
        <v>23.02172887</v>
      </c>
      <c r="N9" s="4">
        <f t="shared" si="2"/>
        <v>22.40451437</v>
      </c>
      <c r="O9" s="4">
        <f t="shared" si="3"/>
        <v>0.6172144962</v>
      </c>
      <c r="P9" s="4">
        <f t="shared" si="4"/>
        <v>0.3809537343</v>
      </c>
      <c r="Q9" s="5">
        <f t="shared" si="5"/>
        <v>248.7647973</v>
      </c>
      <c r="R9" s="5">
        <f t="shared" si="6"/>
        <v>116.524285</v>
      </c>
      <c r="S9" s="5">
        <f t="shared" si="7"/>
        <v>132.2405123</v>
      </c>
      <c r="T9" s="5">
        <f t="shared" si="8"/>
        <v>263.1115227</v>
      </c>
    </row>
    <row r="10">
      <c r="A10" s="1">
        <v>17.8457625112618</v>
      </c>
      <c r="B10" s="1">
        <v>26.6973597662901</v>
      </c>
      <c r="C10" s="1">
        <v>1.15972200630934</v>
      </c>
      <c r="D10" s="1">
        <v>0.42664384841919</v>
      </c>
      <c r="E10" s="1">
        <v>6.0</v>
      </c>
      <c r="F10" s="1">
        <v>1.0</v>
      </c>
      <c r="G10" s="1">
        <v>1.0</v>
      </c>
      <c r="H10" s="1">
        <v>0.790538203684943</v>
      </c>
      <c r="I10" s="1">
        <v>-24.0</v>
      </c>
      <c r="J10" s="1">
        <v>18.0</v>
      </c>
      <c r="K10" s="1">
        <v>-4.0</v>
      </c>
      <c r="L10" s="1">
        <v>2.0</v>
      </c>
      <c r="M10" s="4">
        <f t="shared" si="1"/>
        <v>30</v>
      </c>
      <c r="N10" s="4">
        <f t="shared" si="2"/>
        <v>28.90135653</v>
      </c>
      <c r="O10" s="4">
        <f t="shared" si="3"/>
        <v>1.098643474</v>
      </c>
      <c r="P10" s="4">
        <f t="shared" si="4"/>
        <v>1.207017482</v>
      </c>
      <c r="Q10" s="5">
        <f t="shared" si="5"/>
        <v>253.742851</v>
      </c>
      <c r="R10" s="5">
        <f t="shared" si="6"/>
        <v>112.4757982</v>
      </c>
      <c r="S10" s="5">
        <f t="shared" si="7"/>
        <v>141.2670528</v>
      </c>
      <c r="T10" s="5">
        <f t="shared" si="8"/>
        <v>259.0630358</v>
      </c>
    </row>
    <row r="11">
      <c r="A11" s="1">
        <v>17.7533788155919</v>
      </c>
      <c r="B11" s="1">
        <v>25.1264876985406</v>
      </c>
      <c r="C11" s="1">
        <v>1.15972200630934</v>
      </c>
      <c r="D11" s="1">
        <v>0.42664384841919</v>
      </c>
      <c r="E11" s="1">
        <v>6.0</v>
      </c>
      <c r="F11" s="1">
        <v>0.954771164188527</v>
      </c>
      <c r="G11" s="1">
        <v>2.0</v>
      </c>
      <c r="H11" s="1">
        <v>0.889560368160372</v>
      </c>
      <c r="I11" s="1">
        <v>-23.0</v>
      </c>
      <c r="J11" s="1">
        <v>18.0</v>
      </c>
      <c r="K11" s="1">
        <v>-3.0</v>
      </c>
      <c r="L11" s="1">
        <v>3.0</v>
      </c>
      <c r="M11" s="4">
        <f t="shared" si="1"/>
        <v>29.20616373</v>
      </c>
      <c r="N11" s="4">
        <f t="shared" si="2"/>
        <v>27.68905024</v>
      </c>
      <c r="O11" s="4">
        <f t="shared" si="3"/>
        <v>1.517113493</v>
      </c>
      <c r="P11" s="4">
        <f t="shared" si="4"/>
        <v>2.301633351</v>
      </c>
      <c r="Q11" s="5">
        <f t="shared" si="5"/>
        <v>256.0971748</v>
      </c>
      <c r="R11" s="5">
        <f t="shared" si="6"/>
        <v>109.5099372</v>
      </c>
      <c r="S11" s="5">
        <f t="shared" si="7"/>
        <v>146.5872376</v>
      </c>
      <c r="T11" s="5">
        <f t="shared" si="8"/>
        <v>256.0971748</v>
      </c>
    </row>
    <row r="12">
      <c r="A12" s="1">
        <v>17.8458771621136</v>
      </c>
      <c r="B12" s="1">
        <v>24.7060918226233</v>
      </c>
      <c r="C12" s="1">
        <v>1.15972200630934</v>
      </c>
      <c r="D12" s="1">
        <v>0.42664384841919</v>
      </c>
      <c r="E12" s="1">
        <v>6.0</v>
      </c>
      <c r="F12" s="1">
        <v>0.942765940569257</v>
      </c>
      <c r="G12" s="1">
        <v>2.0</v>
      </c>
      <c r="H12" s="1">
        <v>0.886278241400611</v>
      </c>
      <c r="I12" s="1">
        <v>-22.0</v>
      </c>
      <c r="J12" s="1">
        <v>17.0</v>
      </c>
      <c r="K12" s="1">
        <v>-3.0</v>
      </c>
      <c r="L12" s="1">
        <v>3.0</v>
      </c>
      <c r="M12" s="4">
        <f t="shared" si="1"/>
        <v>27.80287755</v>
      </c>
      <c r="N12" s="4">
        <f t="shared" si="2"/>
        <v>27.42957723</v>
      </c>
      <c r="O12" s="4">
        <f t="shared" si="3"/>
        <v>0.3733003208</v>
      </c>
      <c r="P12" s="4">
        <f t="shared" si="4"/>
        <v>0.1393531295</v>
      </c>
      <c r="Q12" s="5">
        <f t="shared" si="5"/>
        <v>255.3917422</v>
      </c>
      <c r="R12" s="5">
        <f t="shared" si="6"/>
        <v>108.3137559</v>
      </c>
      <c r="S12" s="5">
        <f t="shared" si="7"/>
        <v>147.0779863</v>
      </c>
      <c r="T12" s="5">
        <f t="shared" si="8"/>
        <v>254.9009935</v>
      </c>
    </row>
    <row r="13">
      <c r="A13" s="1">
        <v>15.7600239894885</v>
      </c>
      <c r="B13" s="1">
        <v>24.1549040684683</v>
      </c>
      <c r="C13" s="1">
        <v>1.13335081903196</v>
      </c>
      <c r="D13" s="1">
        <v>0.676643848419189</v>
      </c>
      <c r="E13" s="1">
        <v>6.0</v>
      </c>
      <c r="F13" s="1">
        <v>0.904392529119191</v>
      </c>
      <c r="G13" s="1">
        <v>2.0</v>
      </c>
      <c r="H13" s="1">
        <v>0.89404125589932</v>
      </c>
      <c r="I13" s="1">
        <v>-22.0</v>
      </c>
      <c r="J13" s="1">
        <v>16.0</v>
      </c>
      <c r="K13" s="1">
        <v>-2.0</v>
      </c>
      <c r="L13" s="1">
        <v>4.0</v>
      </c>
      <c r="M13" s="4">
        <f t="shared" si="1"/>
        <v>27.20294102</v>
      </c>
      <c r="N13" s="4">
        <f t="shared" si="2"/>
        <v>25.95743776</v>
      </c>
      <c r="O13" s="4">
        <f t="shared" si="3"/>
        <v>1.245503262</v>
      </c>
      <c r="P13" s="4">
        <f t="shared" si="4"/>
        <v>1.551278376</v>
      </c>
      <c r="Q13" s="5">
        <f t="shared" si="5"/>
        <v>252.0581535</v>
      </c>
      <c r="R13" s="5">
        <f t="shared" si="6"/>
        <v>113.7512732</v>
      </c>
      <c r="S13" s="5">
        <f t="shared" si="7"/>
        <v>138.3068803</v>
      </c>
      <c r="T13" s="5">
        <f t="shared" si="8"/>
        <v>260.3385108</v>
      </c>
    </row>
    <row r="14">
      <c r="A14" s="1">
        <v>20.8755259951223</v>
      </c>
      <c r="B14" s="1">
        <v>22.8353332736197</v>
      </c>
      <c r="C14" s="1">
        <v>1.15587925397703</v>
      </c>
      <c r="D14" s="1">
        <v>0.176643848419166</v>
      </c>
      <c r="E14" s="1">
        <v>6.0</v>
      </c>
      <c r="F14" s="1">
        <v>0.858679272611071</v>
      </c>
      <c r="G14" s="1">
        <v>2.0</v>
      </c>
      <c r="H14" s="1">
        <v>0.814797038068346</v>
      </c>
      <c r="I14" s="1">
        <v>-21.0</v>
      </c>
      <c r="J14" s="1">
        <v>20.0</v>
      </c>
      <c r="K14" s="1">
        <v>-6.0</v>
      </c>
      <c r="L14" s="1">
        <v>5.0</v>
      </c>
      <c r="M14" s="4">
        <f t="shared" si="1"/>
        <v>29</v>
      </c>
      <c r="N14" s="4">
        <f t="shared" si="2"/>
        <v>27.84536632</v>
      </c>
      <c r="O14" s="4">
        <f t="shared" si="3"/>
        <v>1.154633683</v>
      </c>
      <c r="P14" s="4">
        <f t="shared" si="4"/>
        <v>1.333178941</v>
      </c>
      <c r="Q14" s="5">
        <f t="shared" si="5"/>
        <v>267.2084993</v>
      </c>
      <c r="R14" s="5">
        <f t="shared" si="6"/>
        <v>95.13162141</v>
      </c>
      <c r="S14" s="5">
        <f t="shared" si="7"/>
        <v>172.0768778</v>
      </c>
      <c r="T14" s="5">
        <f t="shared" si="8"/>
        <v>241.718859</v>
      </c>
    </row>
    <row r="15">
      <c r="A15" s="1">
        <v>17.5667051538269</v>
      </c>
      <c r="B15" s="1">
        <v>24.5906014938746</v>
      </c>
      <c r="C15" s="1">
        <v>1.12974824088057</v>
      </c>
      <c r="D15" s="1">
        <v>0.891480028629289</v>
      </c>
      <c r="E15" s="1">
        <v>6.0</v>
      </c>
      <c r="F15" s="1">
        <v>0.938117864412054</v>
      </c>
      <c r="G15" s="1">
        <v>2.0</v>
      </c>
      <c r="H15" s="1">
        <v>0.887097794704667</v>
      </c>
      <c r="I15" s="1">
        <v>-25.0</v>
      </c>
      <c r="J15" s="1">
        <v>20.0</v>
      </c>
      <c r="K15" s="1">
        <v>-1.0</v>
      </c>
      <c r="L15" s="1">
        <v>5.0</v>
      </c>
      <c r="M15" s="4">
        <f t="shared" si="1"/>
        <v>32.01562119</v>
      </c>
      <c r="N15" s="4">
        <f t="shared" si="2"/>
        <v>27.19857198</v>
      </c>
      <c r="O15" s="4">
        <f t="shared" si="3"/>
        <v>4.817049211</v>
      </c>
      <c r="P15" s="4">
        <f t="shared" si="4"/>
        <v>23.2039631</v>
      </c>
      <c r="Q15" s="5">
        <f t="shared" si="5"/>
        <v>257.3224114</v>
      </c>
      <c r="R15" s="5">
        <f t="shared" si="6"/>
        <v>108.9154194</v>
      </c>
      <c r="S15" s="5">
        <f t="shared" si="7"/>
        <v>148.4069919</v>
      </c>
      <c r="T15" s="5">
        <f t="shared" si="8"/>
        <v>255.5026571</v>
      </c>
    </row>
    <row r="16">
      <c r="A16" s="1">
        <v>16.7148263400751</v>
      </c>
      <c r="B16" s="1">
        <v>24.1707394923151</v>
      </c>
      <c r="C16" s="1">
        <v>1.19370079458121</v>
      </c>
      <c r="D16" s="1">
        <v>1.4266133159399</v>
      </c>
      <c r="E16" s="1">
        <v>6.0</v>
      </c>
      <c r="F16" s="1">
        <v>0.921584252963289</v>
      </c>
      <c r="G16" s="1">
        <v>2.0</v>
      </c>
      <c r="H16" s="1">
        <v>0.89420476612673</v>
      </c>
      <c r="I16" s="1">
        <v>-25.0</v>
      </c>
      <c r="J16" s="1">
        <v>19.0</v>
      </c>
      <c r="K16" s="1">
        <v>-6.0</v>
      </c>
      <c r="L16" s="1">
        <v>6.0</v>
      </c>
      <c r="M16" s="4">
        <f t="shared" si="1"/>
        <v>31.40063694</v>
      </c>
      <c r="N16" s="4">
        <f t="shared" si="2"/>
        <v>26.44851895</v>
      </c>
      <c r="O16" s="4">
        <f t="shared" si="3"/>
        <v>4.952117991</v>
      </c>
      <c r="P16" s="4">
        <f t="shared" si="4"/>
        <v>24.52347259</v>
      </c>
      <c r="Q16" s="5">
        <f t="shared" si="5"/>
        <v>254.4725734</v>
      </c>
      <c r="R16" s="5">
        <f t="shared" si="6"/>
        <v>110.666639</v>
      </c>
      <c r="S16" s="5">
        <f t="shared" si="7"/>
        <v>143.8059344</v>
      </c>
      <c r="T16" s="5">
        <f t="shared" si="8"/>
        <v>257.2538766</v>
      </c>
    </row>
    <row r="17">
      <c r="A17" s="1">
        <v>16.0189413244919</v>
      </c>
      <c r="B17" s="1">
        <v>24.1768312393276</v>
      </c>
      <c r="C17" s="1">
        <v>1.18781115269405</v>
      </c>
      <c r="D17" s="1">
        <v>1.71531724929809</v>
      </c>
      <c r="E17" s="1">
        <v>6.0</v>
      </c>
      <c r="F17" s="1">
        <v>0.911597101121314</v>
      </c>
      <c r="G17" s="1">
        <v>2.0</v>
      </c>
      <c r="H17" s="1">
        <v>0.896256859015759</v>
      </c>
      <c r="I17" s="1">
        <v>-25.0</v>
      </c>
      <c r="J17" s="1">
        <v>19.0</v>
      </c>
      <c r="K17" s="1">
        <v>-6.0</v>
      </c>
      <c r="L17" s="1">
        <v>7.0</v>
      </c>
      <c r="M17" s="4">
        <f t="shared" si="1"/>
        <v>31.40063694</v>
      </c>
      <c r="N17" s="4">
        <f t="shared" si="2"/>
        <v>26.10194967</v>
      </c>
      <c r="O17" s="4">
        <f t="shared" si="3"/>
        <v>5.298687269</v>
      </c>
      <c r="P17" s="4">
        <f t="shared" si="4"/>
        <v>28.07608677</v>
      </c>
      <c r="Q17" s="5">
        <f t="shared" si="5"/>
        <v>254.4725734</v>
      </c>
      <c r="R17" s="5">
        <f t="shared" si="6"/>
        <v>112.9418617</v>
      </c>
      <c r="S17" s="5">
        <f t="shared" si="7"/>
        <v>141.5307117</v>
      </c>
      <c r="T17" s="5">
        <f t="shared" si="8"/>
        <v>259.5290993</v>
      </c>
    </row>
    <row r="18">
      <c r="A18" s="1">
        <v>23.6651587669865</v>
      </c>
      <c r="B18" s="1">
        <v>26.8484812147956</v>
      </c>
      <c r="C18" s="1">
        <v>1.12928897558829</v>
      </c>
      <c r="D18" s="1">
        <v>3.828941822052</v>
      </c>
      <c r="E18" s="1">
        <v>7.0</v>
      </c>
      <c r="F18" s="1">
        <v>1.0</v>
      </c>
      <c r="G18" s="1">
        <v>1.0</v>
      </c>
      <c r="H18" s="1">
        <v>0.830454923526316</v>
      </c>
      <c r="I18" s="1">
        <v>-24.0</v>
      </c>
      <c r="J18" s="1">
        <v>24.0</v>
      </c>
      <c r="K18" s="1">
        <v>-3.0</v>
      </c>
      <c r="L18" s="1">
        <v>7.0</v>
      </c>
      <c r="M18" s="4">
        <f t="shared" si="1"/>
        <v>33.9411255</v>
      </c>
      <c r="N18" s="4">
        <f t="shared" si="2"/>
        <v>32.2104541</v>
      </c>
      <c r="O18" s="4">
        <f t="shared" si="3"/>
        <v>1.730671398</v>
      </c>
      <c r="P18" s="4">
        <f t="shared" si="4"/>
        <v>2.995223489</v>
      </c>
      <c r="Q18" s="5">
        <f t="shared" si="5"/>
        <v>270.0023873</v>
      </c>
      <c r="R18" s="5">
        <f t="shared" si="6"/>
        <v>97.20951415</v>
      </c>
      <c r="S18" s="5">
        <f t="shared" si="7"/>
        <v>172.7928731</v>
      </c>
      <c r="T18" s="5">
        <f t="shared" si="8"/>
        <v>243.7967518</v>
      </c>
    </row>
    <row r="19">
      <c r="A19" s="1">
        <v>23.1270642289958</v>
      </c>
      <c r="B19" s="1">
        <v>27.2100721386343</v>
      </c>
      <c r="C19" s="1">
        <v>1.17212583281633</v>
      </c>
      <c r="D19" s="1">
        <v>3.87741136550903</v>
      </c>
      <c r="E19" s="1">
        <v>7.0</v>
      </c>
      <c r="F19" s="1">
        <v>0.981220228995613</v>
      </c>
      <c r="G19" s="1">
        <v>2.0</v>
      </c>
      <c r="H19" s="1">
        <v>0.914759959692607</v>
      </c>
      <c r="I19" s="1">
        <v>-24.0</v>
      </c>
      <c r="J19" s="1">
        <v>23.0</v>
      </c>
      <c r="K19" s="1">
        <v>-6.0</v>
      </c>
      <c r="L19" s="1">
        <v>7.0</v>
      </c>
      <c r="M19" s="4">
        <f t="shared" si="1"/>
        <v>33.24154028</v>
      </c>
      <c r="N19" s="4">
        <f t="shared" si="2"/>
        <v>32.13956739</v>
      </c>
      <c r="O19" s="4">
        <f t="shared" si="3"/>
        <v>1.101972891</v>
      </c>
      <c r="P19" s="4">
        <f t="shared" si="4"/>
        <v>1.214344253</v>
      </c>
      <c r="Q19" s="5">
        <f t="shared" si="5"/>
        <v>267.5647383</v>
      </c>
      <c r="R19" s="5">
        <f t="shared" si="6"/>
        <v>99.2721422</v>
      </c>
      <c r="S19" s="5">
        <f t="shared" si="7"/>
        <v>168.2925961</v>
      </c>
      <c r="T19" s="5">
        <f t="shared" si="8"/>
        <v>245.8593798</v>
      </c>
    </row>
    <row r="20">
      <c r="A20" s="1">
        <v>22.4308307107148</v>
      </c>
      <c r="B20" s="1">
        <v>26.0766866670979</v>
      </c>
      <c r="C20" s="1">
        <v>1.10749706661648</v>
      </c>
      <c r="D20" s="1">
        <v>3.71566045284271</v>
      </c>
      <c r="E20" s="1">
        <v>7.0</v>
      </c>
      <c r="F20" s="1">
        <v>0.956611602794188</v>
      </c>
      <c r="G20" s="1">
        <v>2.0</v>
      </c>
      <c r="H20" s="1">
        <v>0.910279920547203</v>
      </c>
      <c r="I20" s="1">
        <v>-24.0</v>
      </c>
      <c r="J20" s="1">
        <v>22.0</v>
      </c>
      <c r="K20" s="1">
        <v>-1.0</v>
      </c>
      <c r="L20" s="1">
        <v>7.0</v>
      </c>
      <c r="M20" s="4">
        <f t="shared" si="1"/>
        <v>32.55764119</v>
      </c>
      <c r="N20" s="4">
        <f t="shared" si="2"/>
        <v>30.95706641</v>
      </c>
      <c r="O20" s="4">
        <f t="shared" si="3"/>
        <v>1.600574783</v>
      </c>
      <c r="P20" s="4">
        <f t="shared" si="4"/>
        <v>2.561839636</v>
      </c>
      <c r="Q20" s="5">
        <f t="shared" si="5"/>
        <v>265.0234886</v>
      </c>
      <c r="R20" s="5">
        <f t="shared" si="6"/>
        <v>98.59408565</v>
      </c>
      <c r="S20" s="5">
        <f t="shared" si="7"/>
        <v>166.429403</v>
      </c>
      <c r="T20" s="5">
        <f t="shared" si="8"/>
        <v>245.1813233</v>
      </c>
    </row>
    <row r="21">
      <c r="A21" s="1">
        <v>23.9276365446001</v>
      </c>
      <c r="B21" s="1">
        <v>24.242418616888</v>
      </c>
      <c r="C21" s="1">
        <v>1.14211871423291</v>
      </c>
      <c r="D21" s="1">
        <v>92.3739399909974</v>
      </c>
      <c r="E21" s="1">
        <v>7.0</v>
      </c>
      <c r="F21" s="1">
        <v>0.923124108052551</v>
      </c>
      <c r="G21" s="1">
        <v>2.0</v>
      </c>
      <c r="H21" s="1">
        <v>0.866585124808606</v>
      </c>
      <c r="I21" s="1">
        <v>-23.0</v>
      </c>
      <c r="J21" s="1">
        <v>27.0</v>
      </c>
      <c r="K21" s="1">
        <v>-7.0</v>
      </c>
      <c r="L21" s="1">
        <v>7.0</v>
      </c>
      <c r="M21" s="4">
        <f t="shared" si="1"/>
        <v>35.4682957</v>
      </c>
      <c r="N21" s="4">
        <f t="shared" si="2"/>
        <v>30.65588993</v>
      </c>
      <c r="O21" s="4">
        <f t="shared" si="3"/>
        <v>4.812405773</v>
      </c>
      <c r="P21" s="4">
        <f t="shared" si="4"/>
        <v>23.15924933</v>
      </c>
      <c r="Q21" s="5">
        <f t="shared" si="5"/>
        <v>279.1499376</v>
      </c>
      <c r="R21" s="5">
        <f t="shared" si="6"/>
        <v>90.74642891</v>
      </c>
      <c r="S21" s="5">
        <f t="shared" si="7"/>
        <v>188.4035086</v>
      </c>
      <c r="T21" s="5">
        <f t="shared" si="8"/>
        <v>237.3336665</v>
      </c>
    </row>
    <row r="22">
      <c r="Q22" s="5"/>
      <c r="S22" s="5">
        <f> MEDIAN(S2:S18)</f>
        <v>146.5872376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