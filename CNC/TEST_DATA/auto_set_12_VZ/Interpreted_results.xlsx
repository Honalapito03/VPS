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<sst xmlns="http://schemas.openxmlformats.org/spreadsheetml/2006/main" count="21" uniqueCount="21">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</sst>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Munkalap1!$M$2:$M$31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Munkalap1!$N$2:$N$31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Munkalap1!$O$2:$O$31</c:f>
              <c:numCache/>
            </c:numRef>
          </c:val>
          <c:smooth val="0"/>
        </c:ser>
        <c:axId val="25749646"/>
        <c:axId val="36193728"/>
      </c:lineChart>
      <c:catAx>
        <c:axId val="257496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193728"/>
      </c:catAx>
      <c:valAx>
        <c:axId val="36193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496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Munkalap1!$Q$2:$Q$32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Munkalap1!$T$2:$T$32</c:f>
              <c:numCache/>
            </c:numRef>
          </c:val>
          <c:smooth val="0"/>
        </c:ser>
        <c:axId val="1157322427"/>
        <c:axId val="1956220911"/>
      </c:lineChart>
      <c:catAx>
        <c:axId val="1157322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6220911"/>
      </c:catAx>
      <c:valAx>
        <c:axId val="1956220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7322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Munkalap1!$K$2:$K$32</c:f>
            </c:numRef>
          </c:xVal>
          <c:yVal>
            <c:numRef>
              <c:f>Munkalap1!$C$2:$C$32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890402"/>
        <c:axId val="295256028"/>
      </c:scatterChart>
      <c:valAx>
        <c:axId val="4758904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256028"/>
      </c:valAx>
      <c:valAx>
        <c:axId val="295256028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58904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Munkalap1!$D$2:$D$32</c:f>
            </c:numRef>
          </c:xVal>
          <c:yVal>
            <c:numRef>
              <c:f>Munkalap1!$L$2:$L$32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023594"/>
        <c:axId val="1205283357"/>
      </c:scatterChart>
      <c:valAx>
        <c:axId val="10500235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5283357"/>
      </c:valAx>
      <c:valAx>
        <c:axId val="12052833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0235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31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31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51</xdr:row>
      <xdr:rowOff>19050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51</xdr:row>
      <xdr:rowOff>19050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4.6875</v>
      </c>
      <c r="B2" s="1">
        <v>5.43750017881393</v>
      </c>
      <c r="C2" s="1">
        <v>1.14223384857178</v>
      </c>
      <c r="D2" s="1">
        <v>2.0</v>
      </c>
      <c r="E2" s="1">
        <v>1.0</v>
      </c>
      <c r="F2" s="1">
        <v>1.0</v>
      </c>
      <c r="G2" s="1">
        <v>1.0</v>
      </c>
      <c r="H2" s="1">
        <v>0.776586131189631</v>
      </c>
      <c r="I2" s="1">
        <v>-4.0</v>
      </c>
      <c r="J2" s="1">
        <v>-5.0</v>
      </c>
      <c r="K2" s="1">
        <v>-6.0</v>
      </c>
      <c r="L2" s="1">
        <v>3.0</v>
      </c>
      <c r="M2" s="4">
        <f t="shared" ref="M2:M31" si="1">SQRT(I2*I2 + J2*J2)</f>
        <v>6.403124237</v>
      </c>
      <c r="N2" s="4">
        <f t="shared" ref="N2:N31" si="2">SQRT(A2*A2 + B2*B2) * 0.9</f>
        <v>6.461164152</v>
      </c>
      <c r="O2" s="4">
        <f t="shared" ref="O2:O31" si="3"> (M2 - N2)</f>
        <v>-0.05803991465</v>
      </c>
      <c r="P2" s="4">
        <f t="shared" ref="P2:P31" si="4"> O2 * O2</f>
        <v>0.003368631692</v>
      </c>
      <c r="Q2" s="5">
        <f t="shared" ref="Q2:Q31" si="5">MOD(ATAN(I2 / (J2 + 0.001)) / PI() * 360, 360)</f>
        <v>77.33079754</v>
      </c>
      <c r="R2" s="5">
        <f t="shared" ref="R2:R31" si="6">MOD(ATAN(B2 / (A2 + 0.001)) / PI() * 360, 360)</f>
        <v>98.46070287</v>
      </c>
      <c r="S2" s="5">
        <f t="shared" ref="S2:S31" si="7">Q2 - R2</f>
        <v>-21.12990533</v>
      </c>
      <c r="T2" s="5">
        <f t="shared" ref="T2:T31" si="8"> R2 + S$32</f>
        <v>-58.18195937</v>
      </c>
    </row>
    <row r="3">
      <c r="A3" s="1">
        <v>8.02150784388776</v>
      </c>
      <c r="B3" s="1">
        <v>3.42845021023756</v>
      </c>
      <c r="C3" s="1">
        <v>1.03380532196545</v>
      </c>
      <c r="D3" s="1">
        <v>8.24511742591858</v>
      </c>
      <c r="E3" s="1">
        <v>1.0</v>
      </c>
      <c r="F3" s="1">
        <v>0.880745318265571</v>
      </c>
      <c r="G3" s="1">
        <v>2.0</v>
      </c>
      <c r="H3" s="1">
        <v>0.797398207924923</v>
      </c>
      <c r="I3" s="1">
        <v>-8.0</v>
      </c>
      <c r="J3" s="1">
        <v>-4.0</v>
      </c>
      <c r="K3" s="1">
        <v>-2.0</v>
      </c>
      <c r="L3" s="1">
        <v>10.0</v>
      </c>
      <c r="M3" s="4">
        <f t="shared" si="1"/>
        <v>8.94427191</v>
      </c>
      <c r="N3" s="4">
        <f t="shared" si="2"/>
        <v>7.851119394</v>
      </c>
      <c r="O3" s="4">
        <f t="shared" si="3"/>
        <v>1.093152516</v>
      </c>
      <c r="P3" s="4">
        <f t="shared" si="4"/>
        <v>1.194982424</v>
      </c>
      <c r="Q3" s="5">
        <f t="shared" si="5"/>
        <v>126.8813574</v>
      </c>
      <c r="R3" s="5">
        <f t="shared" si="6"/>
        <v>46.27926237</v>
      </c>
      <c r="S3" s="5">
        <f t="shared" si="7"/>
        <v>80.602095</v>
      </c>
      <c r="T3" s="5">
        <f t="shared" si="8"/>
        <v>-110.3633999</v>
      </c>
    </row>
    <row r="4">
      <c r="A4" s="1">
        <v>12.5409848317786</v>
      </c>
      <c r="B4" s="1">
        <v>0.812069857974667</v>
      </c>
      <c r="C4" s="1">
        <v>1.13455394477722</v>
      </c>
      <c r="D4" s="1">
        <v>24.4679565429688</v>
      </c>
      <c r="E4" s="1">
        <v>2.0</v>
      </c>
      <c r="F4" s="1">
        <v>1.0</v>
      </c>
      <c r="G4" s="1">
        <v>1.0</v>
      </c>
      <c r="H4" s="1">
        <v>0.733121815517248</v>
      </c>
      <c r="I4" s="1">
        <v>-13.0</v>
      </c>
      <c r="J4" s="1">
        <v>-4.0</v>
      </c>
      <c r="K4" s="1">
        <v>-6.0</v>
      </c>
      <c r="L4" s="1">
        <v>28.0</v>
      </c>
      <c r="M4" s="4">
        <f t="shared" si="1"/>
        <v>13.60147051</v>
      </c>
      <c r="N4" s="4">
        <f t="shared" si="2"/>
        <v>11.31052448</v>
      </c>
      <c r="O4" s="4">
        <f t="shared" si="3"/>
        <v>2.29094603</v>
      </c>
      <c r="P4" s="4">
        <f t="shared" si="4"/>
        <v>5.248433712</v>
      </c>
      <c r="Q4" s="5">
        <f t="shared" si="5"/>
        <v>145.8025946</v>
      </c>
      <c r="R4" s="5">
        <f t="shared" si="6"/>
        <v>7.409244854</v>
      </c>
      <c r="S4" s="5">
        <f t="shared" si="7"/>
        <v>138.3933498</v>
      </c>
      <c r="T4" s="5">
        <f t="shared" si="8"/>
        <v>-149.2334174</v>
      </c>
    </row>
    <row r="5">
      <c r="A5" s="1">
        <v>19.0555745548714</v>
      </c>
      <c r="B5" s="1">
        <v>1.65823116620049</v>
      </c>
      <c r="C5" s="1">
        <v>1.05453230269228</v>
      </c>
      <c r="D5" s="1">
        <v>10.9679555892944</v>
      </c>
      <c r="E5" s="1">
        <v>3.0</v>
      </c>
      <c r="F5" s="1">
        <v>1.0</v>
      </c>
      <c r="G5" s="1">
        <v>1.0</v>
      </c>
      <c r="H5" s="1">
        <v>0.799937451176536</v>
      </c>
      <c r="I5" s="1">
        <v>-18.0</v>
      </c>
      <c r="J5" s="1">
        <v>-4.0</v>
      </c>
      <c r="K5" s="1">
        <v>-3.0</v>
      </c>
      <c r="L5" s="1">
        <v>13.0</v>
      </c>
      <c r="M5" s="4">
        <f t="shared" si="1"/>
        <v>18.43908891</v>
      </c>
      <c r="N5" s="4">
        <f t="shared" si="2"/>
        <v>17.21482989</v>
      </c>
      <c r="O5" s="4">
        <f t="shared" si="3"/>
        <v>1.22425902</v>
      </c>
      <c r="P5" s="4">
        <f t="shared" si="4"/>
        <v>1.498810148</v>
      </c>
      <c r="Q5" s="5">
        <f t="shared" si="5"/>
        <v>154.9484513</v>
      </c>
      <c r="R5" s="5">
        <f t="shared" si="6"/>
        <v>9.94627149</v>
      </c>
      <c r="S5" s="5">
        <f t="shared" si="7"/>
        <v>145.0021798</v>
      </c>
      <c r="T5" s="5">
        <f t="shared" si="8"/>
        <v>-146.6963907</v>
      </c>
    </row>
    <row r="6">
      <c r="A6" s="1">
        <v>22.4389028257216</v>
      </c>
      <c r="B6" s="1">
        <v>-2.09314318089377</v>
      </c>
      <c r="C6" s="1">
        <v>1.10477584270219</v>
      </c>
      <c r="D6" s="1">
        <v>17.4679560661316</v>
      </c>
      <c r="E6" s="1">
        <v>4.0</v>
      </c>
      <c r="F6" s="1">
        <v>1.0</v>
      </c>
      <c r="G6" s="1">
        <v>1.0</v>
      </c>
      <c r="H6" s="1">
        <v>0.844033233764451</v>
      </c>
      <c r="I6" s="1">
        <v>-22.0</v>
      </c>
      <c r="J6" s="1">
        <v>-3.0</v>
      </c>
      <c r="K6" s="1">
        <v>-5.0</v>
      </c>
      <c r="L6" s="1">
        <v>21.0</v>
      </c>
      <c r="M6" s="4">
        <f t="shared" si="1"/>
        <v>22.20360331</v>
      </c>
      <c r="N6" s="4">
        <f t="shared" si="2"/>
        <v>20.28268579</v>
      </c>
      <c r="O6" s="4">
        <f t="shared" si="3"/>
        <v>1.920917522</v>
      </c>
      <c r="P6" s="4">
        <f t="shared" si="4"/>
        <v>3.689924128</v>
      </c>
      <c r="Q6" s="5">
        <f t="shared" si="5"/>
        <v>164.4747816</v>
      </c>
      <c r="R6" s="5">
        <f t="shared" si="6"/>
        <v>349.341999</v>
      </c>
      <c r="S6" s="5">
        <f t="shared" si="7"/>
        <v>-184.8672174</v>
      </c>
      <c r="T6" s="5">
        <f t="shared" si="8"/>
        <v>192.6993368</v>
      </c>
    </row>
    <row r="7">
      <c r="A7" s="1">
        <v>28.8602041761946</v>
      </c>
      <c r="B7" s="1">
        <v>-3.27506876545292</v>
      </c>
      <c r="C7" s="1">
        <v>0.986693768761142</v>
      </c>
      <c r="D7" s="1">
        <v>2.33850049972534</v>
      </c>
      <c r="E7" s="1">
        <v>5.0</v>
      </c>
      <c r="F7" s="1">
        <v>1.0</v>
      </c>
      <c r="G7" s="1">
        <v>1.0</v>
      </c>
      <c r="H7" s="1">
        <v>0.791879361484046</v>
      </c>
      <c r="I7" s="1">
        <v>-27.0</v>
      </c>
      <c r="J7" s="1">
        <v>-1.0</v>
      </c>
      <c r="K7" s="1">
        <v>0.0</v>
      </c>
      <c r="L7" s="1">
        <v>4.0</v>
      </c>
      <c r="M7" s="4">
        <f t="shared" si="1"/>
        <v>27.01851217</v>
      </c>
      <c r="N7" s="4">
        <f t="shared" si="2"/>
        <v>26.14089407</v>
      </c>
      <c r="O7" s="4">
        <f t="shared" si="3"/>
        <v>0.8776180977</v>
      </c>
      <c r="P7" s="4">
        <f t="shared" si="4"/>
        <v>0.7702135255</v>
      </c>
      <c r="Q7" s="5">
        <f t="shared" si="5"/>
        <v>175.7620455</v>
      </c>
      <c r="R7" s="5">
        <f t="shared" si="6"/>
        <v>347.0519371</v>
      </c>
      <c r="S7" s="5">
        <f t="shared" si="7"/>
        <v>-171.2898916</v>
      </c>
      <c r="T7" s="5">
        <f t="shared" si="8"/>
        <v>190.4092749</v>
      </c>
    </row>
    <row r="8">
      <c r="A8" s="1">
        <v>32.850129956429</v>
      </c>
      <c r="B8" s="1">
        <v>-6.28191376650497</v>
      </c>
      <c r="C8" s="1">
        <v>1.12703502085383</v>
      </c>
      <c r="D8" s="1">
        <v>7.33850049972534</v>
      </c>
      <c r="E8" s="1">
        <v>6.0</v>
      </c>
      <c r="F8" s="1">
        <v>1.0</v>
      </c>
      <c r="G8" s="1">
        <v>1.0</v>
      </c>
      <c r="H8" s="1">
        <v>0.842425041089645</v>
      </c>
      <c r="I8" s="1">
        <v>-31.0</v>
      </c>
      <c r="J8" s="1">
        <v>0.0</v>
      </c>
      <c r="K8" s="1">
        <v>-6.0</v>
      </c>
      <c r="L8" s="1">
        <v>10.0</v>
      </c>
      <c r="M8" s="4">
        <f t="shared" si="1"/>
        <v>31</v>
      </c>
      <c r="N8" s="4">
        <f t="shared" si="2"/>
        <v>30.10084248</v>
      </c>
      <c r="O8" s="4">
        <f t="shared" si="3"/>
        <v>0.899157524</v>
      </c>
      <c r="P8" s="4">
        <f t="shared" si="4"/>
        <v>0.8084842529</v>
      </c>
      <c r="Q8" s="5">
        <f t="shared" si="5"/>
        <v>180.0036965</v>
      </c>
      <c r="R8" s="5">
        <f t="shared" si="6"/>
        <v>338.3487592</v>
      </c>
      <c r="S8" s="5">
        <f t="shared" si="7"/>
        <v>-158.3450627</v>
      </c>
      <c r="T8" s="5">
        <f t="shared" si="8"/>
        <v>181.706097</v>
      </c>
    </row>
    <row r="9">
      <c r="A9" s="1">
        <v>37.822675185382</v>
      </c>
      <c r="B9" s="1">
        <v>-7.98955471252076</v>
      </c>
      <c r="C9" s="1">
        <v>1.04754369876101</v>
      </c>
      <c r="D9" s="1">
        <v>14.8385004997253</v>
      </c>
      <c r="E9" s="1">
        <v>7.0</v>
      </c>
      <c r="F9" s="1">
        <v>1.0</v>
      </c>
      <c r="G9" s="1">
        <v>1.0</v>
      </c>
      <c r="H9" s="1">
        <v>0.838816622239436</v>
      </c>
      <c r="I9" s="1">
        <v>-36.0</v>
      </c>
      <c r="J9" s="1">
        <v>0.0</v>
      </c>
      <c r="K9" s="1">
        <v>-3.0</v>
      </c>
      <c r="L9" s="1">
        <v>19.0</v>
      </c>
      <c r="M9" s="4">
        <f t="shared" si="1"/>
        <v>36</v>
      </c>
      <c r="N9" s="4">
        <f t="shared" si="2"/>
        <v>34.79158047</v>
      </c>
      <c r="O9" s="4">
        <f t="shared" si="3"/>
        <v>1.20841953</v>
      </c>
      <c r="P9" s="4">
        <f t="shared" si="4"/>
        <v>1.460277761</v>
      </c>
      <c r="Q9" s="5">
        <f t="shared" si="5"/>
        <v>180.0031831</v>
      </c>
      <c r="R9" s="5">
        <f t="shared" si="6"/>
        <v>336.1453074</v>
      </c>
      <c r="S9" s="5">
        <f t="shared" si="7"/>
        <v>-156.1421243</v>
      </c>
      <c r="T9" s="5">
        <f t="shared" si="8"/>
        <v>179.5026452</v>
      </c>
    </row>
    <row r="10">
      <c r="A10" s="1">
        <v>44.2382331418959</v>
      </c>
      <c r="B10" s="1">
        <v>-7.27742578839256</v>
      </c>
      <c r="C10" s="1">
        <v>0.980154732173174</v>
      </c>
      <c r="D10" s="1">
        <v>3.33849954605102</v>
      </c>
      <c r="E10" s="1">
        <v>8.0</v>
      </c>
      <c r="F10" s="1">
        <v>1.0</v>
      </c>
      <c r="G10" s="1">
        <v>1.0</v>
      </c>
      <c r="H10" s="1">
        <v>0.787773825210674</v>
      </c>
      <c r="I10" s="1">
        <v>-41.0</v>
      </c>
      <c r="J10" s="1">
        <v>0.0</v>
      </c>
      <c r="K10" s="1">
        <v>0.0</v>
      </c>
      <c r="L10" s="1">
        <v>6.0</v>
      </c>
      <c r="M10" s="4">
        <f t="shared" si="1"/>
        <v>41</v>
      </c>
      <c r="N10" s="4">
        <f t="shared" si="2"/>
        <v>40.3495425</v>
      </c>
      <c r="O10" s="4">
        <f t="shared" si="3"/>
        <v>0.6504574986</v>
      </c>
      <c r="P10" s="4">
        <f t="shared" si="4"/>
        <v>0.4230949575</v>
      </c>
      <c r="Q10" s="5">
        <f t="shared" si="5"/>
        <v>180.0027949</v>
      </c>
      <c r="R10" s="5">
        <f t="shared" si="6"/>
        <v>341.3168301</v>
      </c>
      <c r="S10" s="5">
        <f t="shared" si="7"/>
        <v>-161.3140352</v>
      </c>
      <c r="T10" s="5">
        <f t="shared" si="8"/>
        <v>184.6741679</v>
      </c>
    </row>
    <row r="11">
      <c r="A11" s="1">
        <v>49.4952594664825</v>
      </c>
      <c r="B11" s="1">
        <v>-7.60950168687118</v>
      </c>
      <c r="C11" s="1">
        <v>1.09745420497463</v>
      </c>
      <c r="D11" s="1">
        <v>358.838499546051</v>
      </c>
      <c r="E11" s="1">
        <v>9.0</v>
      </c>
      <c r="F11" s="1">
        <v>1.0</v>
      </c>
      <c r="G11" s="1">
        <v>1.0</v>
      </c>
      <c r="H11" s="1">
        <v>0.830975436050526</v>
      </c>
      <c r="I11" s="1">
        <v>-45.0</v>
      </c>
      <c r="J11" s="1">
        <v>0.0</v>
      </c>
      <c r="K11" s="1">
        <v>-5.0</v>
      </c>
      <c r="L11" s="1">
        <v>1.0</v>
      </c>
      <c r="M11" s="4">
        <f t="shared" si="1"/>
        <v>45</v>
      </c>
      <c r="N11" s="4">
        <f t="shared" si="2"/>
        <v>45.06911396</v>
      </c>
      <c r="O11" s="4">
        <f t="shared" si="3"/>
        <v>-0.06911395532</v>
      </c>
      <c r="P11" s="4">
        <f t="shared" si="4"/>
        <v>0.004776738819</v>
      </c>
      <c r="Q11" s="5">
        <f t="shared" si="5"/>
        <v>180.0025465</v>
      </c>
      <c r="R11" s="5">
        <f t="shared" si="6"/>
        <v>342.5196792</v>
      </c>
      <c r="S11" s="5">
        <f t="shared" si="7"/>
        <v>-162.5171327</v>
      </c>
      <c r="T11" s="5">
        <f t="shared" si="8"/>
        <v>185.8770169</v>
      </c>
    </row>
    <row r="12">
      <c r="A12" s="1">
        <v>52.9112482575695</v>
      </c>
      <c r="B12" s="1">
        <v>-8.36478858556256</v>
      </c>
      <c r="C12" s="1">
        <v>0.999903048811388</v>
      </c>
      <c r="D12" s="1">
        <v>10.8385000228882</v>
      </c>
      <c r="E12" s="1">
        <v>9.0</v>
      </c>
      <c r="F12" s="1">
        <v>0.888796857055149</v>
      </c>
      <c r="G12" s="1">
        <v>2.0</v>
      </c>
      <c r="H12" s="1">
        <v>0.797249315787295</v>
      </c>
      <c r="I12" s="1">
        <v>-49.0</v>
      </c>
      <c r="J12" s="1">
        <v>0.0</v>
      </c>
      <c r="K12" s="1">
        <v>-1.0</v>
      </c>
      <c r="L12" s="1">
        <v>14.0</v>
      </c>
      <c r="M12" s="4">
        <f t="shared" si="1"/>
        <v>49</v>
      </c>
      <c r="N12" s="4">
        <f t="shared" si="2"/>
        <v>48.21152977</v>
      </c>
      <c r="O12" s="4">
        <f t="shared" si="3"/>
        <v>0.7884702275</v>
      </c>
      <c r="P12" s="4">
        <f t="shared" si="4"/>
        <v>0.6216852996</v>
      </c>
      <c r="Q12" s="5">
        <f t="shared" si="5"/>
        <v>180.0023386</v>
      </c>
      <c r="R12" s="5">
        <f t="shared" si="6"/>
        <v>342.0331459</v>
      </c>
      <c r="S12" s="5">
        <f t="shared" si="7"/>
        <v>-162.0308073</v>
      </c>
      <c r="T12" s="5">
        <f t="shared" si="8"/>
        <v>185.3904837</v>
      </c>
    </row>
    <row r="13">
      <c r="A13" s="1">
        <v>57.6397431406785</v>
      </c>
      <c r="B13" s="1">
        <v>-7.66070595616523</v>
      </c>
      <c r="C13" s="1">
        <v>1.11214630909096</v>
      </c>
      <c r="D13" s="1">
        <v>358.838499546051</v>
      </c>
      <c r="E13" s="1">
        <v>10.0</v>
      </c>
      <c r="F13" s="1" t="s">
        <v>20</v>
      </c>
      <c r="G13" s="1">
        <v>1.0</v>
      </c>
      <c r="H13" s="1">
        <v>0.754264942733104</v>
      </c>
      <c r="I13" s="1">
        <v>-53.0</v>
      </c>
      <c r="J13" s="1">
        <v>0.0</v>
      </c>
      <c r="K13" s="1">
        <v>-6.0</v>
      </c>
      <c r="L13" s="1">
        <v>1.0</v>
      </c>
      <c r="M13" s="4">
        <f t="shared" si="1"/>
        <v>53</v>
      </c>
      <c r="N13" s="4">
        <f t="shared" si="2"/>
        <v>52.33193469</v>
      </c>
      <c r="O13" s="4">
        <f t="shared" si="3"/>
        <v>0.6680653128</v>
      </c>
      <c r="P13" s="4">
        <f t="shared" si="4"/>
        <v>0.4463112621</v>
      </c>
      <c r="Q13" s="5">
        <f t="shared" si="5"/>
        <v>180.0021621</v>
      </c>
      <c r="R13" s="5">
        <f t="shared" si="6"/>
        <v>344.8590143</v>
      </c>
      <c r="S13" s="5">
        <f t="shared" si="7"/>
        <v>-164.8568522</v>
      </c>
      <c r="T13" s="5">
        <f t="shared" si="8"/>
        <v>188.2163521</v>
      </c>
    </row>
    <row r="14">
      <c r="A14" s="1">
        <v>60.4368844050568</v>
      </c>
      <c r="B14" s="1">
        <v>-11.0899688642713</v>
      </c>
      <c r="C14" s="1">
        <v>1.11214630909096</v>
      </c>
      <c r="D14" s="1">
        <v>21.338499546051</v>
      </c>
      <c r="E14" s="1">
        <v>10.0</v>
      </c>
      <c r="F14" s="1">
        <v>0.867362666111556</v>
      </c>
      <c r="G14" s="1">
        <v>1.0</v>
      </c>
      <c r="H14" s="1">
        <v>0.867362666111556</v>
      </c>
      <c r="I14" s="1">
        <v>-57.0</v>
      </c>
      <c r="J14" s="1">
        <v>0.0</v>
      </c>
      <c r="K14" s="1">
        <v>-6.0</v>
      </c>
      <c r="L14" s="1">
        <v>25.0</v>
      </c>
      <c r="M14" s="4">
        <f t="shared" si="1"/>
        <v>57</v>
      </c>
      <c r="N14" s="4">
        <f t="shared" si="2"/>
        <v>55.30135232</v>
      </c>
      <c r="O14" s="4">
        <f t="shared" si="3"/>
        <v>1.698647676</v>
      </c>
      <c r="P14" s="4">
        <f t="shared" si="4"/>
        <v>2.885403927</v>
      </c>
      <c r="Q14" s="5">
        <f t="shared" si="5"/>
        <v>180.0020104</v>
      </c>
      <c r="R14" s="5">
        <f t="shared" si="6"/>
        <v>339.2045098</v>
      </c>
      <c r="S14" s="5">
        <f t="shared" si="7"/>
        <v>-159.2024994</v>
      </c>
      <c r="T14" s="5">
        <f t="shared" si="8"/>
        <v>182.5618475</v>
      </c>
    </row>
    <row r="15">
      <c r="A15" s="1">
        <v>65.8827461521765</v>
      </c>
      <c r="B15" s="1">
        <v>-14.1794696444814</v>
      </c>
      <c r="C15" s="1">
        <v>1.10477834350542</v>
      </c>
      <c r="D15" s="1">
        <v>22.8368973731995</v>
      </c>
      <c r="E15" s="1">
        <v>11.0</v>
      </c>
      <c r="F15" s="1">
        <v>1.0</v>
      </c>
      <c r="G15" s="1">
        <v>0.0</v>
      </c>
      <c r="H15" s="1">
        <v>0.0</v>
      </c>
      <c r="I15" s="1">
        <v>-62.0</v>
      </c>
      <c r="J15" s="1">
        <v>2.0</v>
      </c>
      <c r="K15" s="1">
        <v>-6.0</v>
      </c>
      <c r="L15" s="1">
        <v>27.0</v>
      </c>
      <c r="M15" s="4">
        <f t="shared" si="1"/>
        <v>62.03224968</v>
      </c>
      <c r="N15" s="4">
        <f t="shared" si="2"/>
        <v>60.65221196</v>
      </c>
      <c r="O15" s="4">
        <f t="shared" si="3"/>
        <v>1.380037714</v>
      </c>
      <c r="P15" s="4">
        <f t="shared" si="4"/>
        <v>1.904504093</v>
      </c>
      <c r="Q15" s="5">
        <f t="shared" si="5"/>
        <v>183.6970669</v>
      </c>
      <c r="R15" s="5">
        <f t="shared" si="6"/>
        <v>335.7081947</v>
      </c>
      <c r="S15" s="5">
        <f t="shared" si="7"/>
        <v>-152.0111278</v>
      </c>
      <c r="T15" s="5">
        <f t="shared" si="8"/>
        <v>179.0655324</v>
      </c>
    </row>
    <row r="16">
      <c r="A16" s="1">
        <v>73.1190588068544</v>
      </c>
      <c r="B16" s="1">
        <v>-12.8509362697876</v>
      </c>
      <c r="C16" s="1">
        <v>1.09749343262607</v>
      </c>
      <c r="D16" s="1">
        <v>357.836895465851</v>
      </c>
      <c r="E16" s="1">
        <v>12.0</v>
      </c>
      <c r="F16" s="1">
        <v>1.0</v>
      </c>
      <c r="G16" s="1">
        <v>1.0</v>
      </c>
      <c r="H16" s="1">
        <v>0.777282819747573</v>
      </c>
      <c r="I16" s="1">
        <v>-67.0</v>
      </c>
      <c r="J16" s="1">
        <v>2.0</v>
      </c>
      <c r="K16" s="1">
        <v>-6.0</v>
      </c>
      <c r="L16" s="1">
        <v>0.0</v>
      </c>
      <c r="M16" s="4">
        <f t="shared" si="1"/>
        <v>67.0298441</v>
      </c>
      <c r="N16" s="4">
        <f t="shared" si="2"/>
        <v>66.81579224</v>
      </c>
      <c r="O16" s="4">
        <f t="shared" si="3"/>
        <v>0.2140518623</v>
      </c>
      <c r="P16" s="4">
        <f t="shared" si="4"/>
        <v>0.04581819974</v>
      </c>
      <c r="Q16" s="5">
        <f t="shared" si="5"/>
        <v>183.4213369</v>
      </c>
      <c r="R16" s="5">
        <f t="shared" si="6"/>
        <v>340.0639991</v>
      </c>
      <c r="S16" s="5">
        <f t="shared" si="7"/>
        <v>-156.6426622</v>
      </c>
      <c r="T16" s="5">
        <f t="shared" si="8"/>
        <v>183.4213369</v>
      </c>
    </row>
    <row r="17">
      <c r="A17" s="1">
        <v>77.7198511117359</v>
      </c>
      <c r="B17" s="1">
        <v>-16.2730616439201</v>
      </c>
      <c r="C17" s="1">
        <v>0.960830733354433</v>
      </c>
      <c r="D17" s="1">
        <v>3.33689546585083</v>
      </c>
      <c r="E17" s="1">
        <v>13.0</v>
      </c>
      <c r="F17" s="1">
        <v>1.0</v>
      </c>
      <c r="G17" s="1">
        <v>1.0</v>
      </c>
      <c r="H17" s="1">
        <v>0.814284053850358</v>
      </c>
      <c r="I17" s="1">
        <v>-72.0</v>
      </c>
      <c r="J17" s="1">
        <v>4.0</v>
      </c>
      <c r="K17" s="1">
        <v>0.0</v>
      </c>
      <c r="L17" s="1">
        <v>7.0</v>
      </c>
      <c r="M17" s="4">
        <f t="shared" si="1"/>
        <v>72.11102551</v>
      </c>
      <c r="N17" s="4">
        <f t="shared" si="2"/>
        <v>71.46469136</v>
      </c>
      <c r="O17" s="4">
        <f t="shared" si="3"/>
        <v>0.6463341464</v>
      </c>
      <c r="P17" s="4">
        <f t="shared" si="4"/>
        <v>0.4177478287</v>
      </c>
      <c r="Q17" s="5">
        <f t="shared" si="5"/>
        <v>186.3612469</v>
      </c>
      <c r="R17" s="5">
        <f t="shared" si="6"/>
        <v>336.34868</v>
      </c>
      <c r="S17" s="5">
        <f t="shared" si="7"/>
        <v>-149.9874331</v>
      </c>
      <c r="T17" s="5">
        <f t="shared" si="8"/>
        <v>179.7060178</v>
      </c>
    </row>
    <row r="18">
      <c r="A18" s="1">
        <v>81.6251789307203</v>
      </c>
      <c r="B18" s="1">
        <v>-20.6716012781976</v>
      </c>
      <c r="C18" s="1">
        <v>0.960830733354433</v>
      </c>
      <c r="D18" s="1">
        <v>17.8368954658508</v>
      </c>
      <c r="E18" s="1">
        <v>14.0</v>
      </c>
      <c r="F18" s="1">
        <v>1.0</v>
      </c>
      <c r="G18" s="1">
        <v>1.0</v>
      </c>
      <c r="H18" s="1">
        <v>0.795938075804953</v>
      </c>
      <c r="I18" s="1">
        <v>-76.0</v>
      </c>
      <c r="J18" s="1">
        <v>6.0</v>
      </c>
      <c r="K18" s="1">
        <v>0.0</v>
      </c>
      <c r="L18" s="1">
        <v>23.0</v>
      </c>
      <c r="M18" s="4">
        <f t="shared" si="1"/>
        <v>76.23647421</v>
      </c>
      <c r="N18" s="4">
        <f t="shared" si="2"/>
        <v>75.78184345</v>
      </c>
      <c r="O18" s="4">
        <f t="shared" si="3"/>
        <v>0.4546307564</v>
      </c>
      <c r="P18" s="4">
        <f t="shared" si="4"/>
        <v>0.2066891247</v>
      </c>
      <c r="Q18" s="5">
        <f t="shared" si="5"/>
        <v>189.0294754</v>
      </c>
      <c r="R18" s="5">
        <f t="shared" si="6"/>
        <v>331.5775681</v>
      </c>
      <c r="S18" s="5">
        <f t="shared" si="7"/>
        <v>-142.5480928</v>
      </c>
      <c r="T18" s="5">
        <f t="shared" si="8"/>
        <v>174.9349059</v>
      </c>
    </row>
    <row r="19">
      <c r="A19" s="1">
        <v>87.2967638437863</v>
      </c>
      <c r="B19" s="1">
        <v>-23.2199026516393</v>
      </c>
      <c r="C19" s="1">
        <v>1.02008568522323</v>
      </c>
      <c r="D19" s="1">
        <v>11.3368949890137</v>
      </c>
      <c r="E19" s="1">
        <v>15.0</v>
      </c>
      <c r="F19" s="1">
        <v>1.0</v>
      </c>
      <c r="G19" s="1">
        <v>1.0</v>
      </c>
      <c r="H19" s="1">
        <v>0.790744186663352</v>
      </c>
      <c r="I19" s="1">
        <v>-81.0</v>
      </c>
      <c r="J19" s="1">
        <v>8.0</v>
      </c>
      <c r="K19" s="1">
        <v>-3.0</v>
      </c>
      <c r="L19" s="1">
        <v>16.0</v>
      </c>
      <c r="M19" s="4">
        <f t="shared" si="1"/>
        <v>81.39410298</v>
      </c>
      <c r="N19" s="4">
        <f t="shared" si="2"/>
        <v>81.29889282</v>
      </c>
      <c r="O19" s="4">
        <f t="shared" si="3"/>
        <v>0.09521015921</v>
      </c>
      <c r="P19" s="4">
        <f t="shared" si="4"/>
        <v>0.009064974417</v>
      </c>
      <c r="Q19" s="5">
        <f t="shared" si="5"/>
        <v>191.2824999</v>
      </c>
      <c r="R19" s="5">
        <f t="shared" si="6"/>
        <v>330.2100968</v>
      </c>
      <c r="S19" s="5">
        <f t="shared" si="7"/>
        <v>-138.9275969</v>
      </c>
      <c r="T19" s="5">
        <f t="shared" si="8"/>
        <v>173.5674346</v>
      </c>
    </row>
    <row r="20">
      <c r="A20" s="1">
        <v>92.1283806672219</v>
      </c>
      <c r="B20" s="1">
        <v>-25.8130659280981</v>
      </c>
      <c r="C20" s="1">
        <v>1.04063853285755</v>
      </c>
      <c r="D20" s="1">
        <v>11.3368949890137</v>
      </c>
      <c r="E20" s="1">
        <v>16.0</v>
      </c>
      <c r="F20" s="1">
        <v>1.0</v>
      </c>
      <c r="G20" s="1">
        <v>1.0</v>
      </c>
      <c r="H20" s="1">
        <v>0.822602097511734</v>
      </c>
      <c r="I20" s="1">
        <v>-85.0</v>
      </c>
      <c r="J20" s="1">
        <v>10.0</v>
      </c>
      <c r="K20" s="1">
        <v>-4.0</v>
      </c>
      <c r="L20" s="1">
        <v>16.0</v>
      </c>
      <c r="M20" s="4">
        <f t="shared" si="1"/>
        <v>85.58621384</v>
      </c>
      <c r="N20" s="4">
        <f t="shared" si="2"/>
        <v>86.10866302</v>
      </c>
      <c r="O20" s="4">
        <f t="shared" si="3"/>
        <v>-0.5224491737</v>
      </c>
      <c r="P20" s="4">
        <f t="shared" si="4"/>
        <v>0.2729531391</v>
      </c>
      <c r="Q20" s="5">
        <f t="shared" si="5"/>
        <v>193.4210033</v>
      </c>
      <c r="R20" s="5">
        <f t="shared" si="6"/>
        <v>328.6960858</v>
      </c>
      <c r="S20" s="5">
        <f t="shared" si="7"/>
        <v>-135.2750824</v>
      </c>
      <c r="T20" s="5">
        <f t="shared" si="8"/>
        <v>172.0534235</v>
      </c>
    </row>
    <row r="21">
      <c r="A21" s="1">
        <v>97.0517436806966</v>
      </c>
      <c r="B21" s="1">
        <v>-25.6222915392376</v>
      </c>
      <c r="C21" s="1">
        <v>1.01332530194062</v>
      </c>
      <c r="D21" s="1">
        <v>5.83689498901367</v>
      </c>
      <c r="E21" s="1">
        <v>17.0</v>
      </c>
      <c r="F21" s="1">
        <v>1.0</v>
      </c>
      <c r="G21" s="1">
        <v>1.0</v>
      </c>
      <c r="H21" s="1">
        <v>0.840079697523846</v>
      </c>
      <c r="I21" s="1">
        <v>-89.0</v>
      </c>
      <c r="J21" s="1">
        <v>10.0</v>
      </c>
      <c r="K21" s="1">
        <v>-3.0</v>
      </c>
      <c r="L21" s="1">
        <v>10.0</v>
      </c>
      <c r="M21" s="4">
        <f t="shared" si="1"/>
        <v>89.56003573</v>
      </c>
      <c r="N21" s="4">
        <f t="shared" si="2"/>
        <v>90.3393029</v>
      </c>
      <c r="O21" s="4">
        <f t="shared" si="3"/>
        <v>-0.7792671667</v>
      </c>
      <c r="P21" s="4">
        <f t="shared" si="4"/>
        <v>0.6072573171</v>
      </c>
      <c r="Q21" s="5">
        <f t="shared" si="5"/>
        <v>192.8229515</v>
      </c>
      <c r="R21" s="5">
        <f t="shared" si="6"/>
        <v>330.4222395</v>
      </c>
      <c r="S21" s="5">
        <f t="shared" si="7"/>
        <v>-137.5992879</v>
      </c>
      <c r="T21" s="5">
        <f t="shared" si="8"/>
        <v>173.7795772</v>
      </c>
    </row>
    <row r="22">
      <c r="A22" s="1">
        <v>102.535552887123</v>
      </c>
      <c r="B22" s="1">
        <v>-27.1076841826015</v>
      </c>
      <c r="C22" s="1">
        <v>1.01331581931416</v>
      </c>
      <c r="D22" s="1">
        <v>13.8368797302246</v>
      </c>
      <c r="E22" s="1">
        <v>18.0</v>
      </c>
      <c r="F22" s="1">
        <v>1.0</v>
      </c>
      <c r="G22" s="1">
        <v>1.0</v>
      </c>
      <c r="H22" s="1">
        <v>0.81310876626883</v>
      </c>
      <c r="I22" s="1">
        <v>-94.0</v>
      </c>
      <c r="J22" s="1">
        <v>10.0</v>
      </c>
      <c r="K22" s="1">
        <v>-3.0</v>
      </c>
      <c r="L22" s="1">
        <v>19.0</v>
      </c>
      <c r="M22" s="4">
        <f t="shared" si="1"/>
        <v>94.53041838</v>
      </c>
      <c r="N22" s="4">
        <f t="shared" si="2"/>
        <v>95.45248336</v>
      </c>
      <c r="O22" s="4">
        <f t="shared" si="3"/>
        <v>-0.9220649751</v>
      </c>
      <c r="P22" s="4">
        <f t="shared" si="4"/>
        <v>0.8502038183</v>
      </c>
      <c r="Q22" s="5">
        <f t="shared" si="5"/>
        <v>192.1461182</v>
      </c>
      <c r="R22" s="5">
        <f t="shared" si="6"/>
        <v>330.3829121</v>
      </c>
      <c r="S22" s="5">
        <f t="shared" si="7"/>
        <v>-138.2367938</v>
      </c>
      <c r="T22" s="5">
        <f t="shared" si="8"/>
        <v>173.7402498</v>
      </c>
    </row>
    <row r="23">
      <c r="A23" s="1">
        <v>106.498541232965</v>
      </c>
      <c r="B23" s="1">
        <v>-27.4655392183991</v>
      </c>
      <c r="C23" s="1">
        <v>1.0545601473461</v>
      </c>
      <c r="D23" s="1">
        <v>7.83687925338745</v>
      </c>
      <c r="E23" s="1">
        <v>18.0</v>
      </c>
      <c r="F23" s="1">
        <v>0.871716594368309</v>
      </c>
      <c r="G23" s="1">
        <v>1.0</v>
      </c>
      <c r="H23" s="1">
        <v>0.871716594368309</v>
      </c>
      <c r="I23" s="1">
        <v>-98.0</v>
      </c>
      <c r="J23" s="1">
        <v>10.0</v>
      </c>
      <c r="K23" s="1">
        <v>-5.0</v>
      </c>
      <c r="L23" s="1">
        <v>12.0</v>
      </c>
      <c r="M23" s="4">
        <f t="shared" si="1"/>
        <v>98.50888285</v>
      </c>
      <c r="N23" s="4">
        <f t="shared" si="2"/>
        <v>98.98484255</v>
      </c>
      <c r="O23" s="4">
        <f t="shared" si="3"/>
        <v>-0.4759597023</v>
      </c>
      <c r="P23" s="4">
        <f t="shared" si="4"/>
        <v>0.2265376382</v>
      </c>
      <c r="Q23" s="5">
        <f t="shared" si="5"/>
        <v>191.6538413</v>
      </c>
      <c r="R23" s="5">
        <f t="shared" si="6"/>
        <v>331.0777862</v>
      </c>
      <c r="S23" s="5">
        <f t="shared" si="7"/>
        <v>-139.4239449</v>
      </c>
      <c r="T23" s="5">
        <f t="shared" si="8"/>
        <v>174.4351239</v>
      </c>
    </row>
    <row r="24">
      <c r="A24" s="1">
        <v>110.738258998641</v>
      </c>
      <c r="B24" s="1">
        <v>-29.9785065974732</v>
      </c>
      <c r="C24" s="1">
        <v>1.05455990575278</v>
      </c>
      <c r="D24" s="1">
        <v>5.33687973022461</v>
      </c>
      <c r="E24" s="1">
        <v>19.0</v>
      </c>
      <c r="F24" s="1">
        <v>1.0</v>
      </c>
      <c r="G24" s="1">
        <v>1.0</v>
      </c>
      <c r="H24" s="1">
        <v>0.719822940108933</v>
      </c>
      <c r="I24" s="1">
        <v>-102.0</v>
      </c>
      <c r="J24" s="1">
        <v>11.0</v>
      </c>
      <c r="K24" s="1">
        <v>-5.0</v>
      </c>
      <c r="L24" s="1">
        <v>9.0</v>
      </c>
      <c r="M24" s="4">
        <f t="shared" si="1"/>
        <v>102.5914226</v>
      </c>
      <c r="N24" s="4">
        <f t="shared" si="2"/>
        <v>103.2519008</v>
      </c>
      <c r="O24" s="4">
        <f t="shared" si="3"/>
        <v>-0.660478161</v>
      </c>
      <c r="P24" s="4">
        <f t="shared" si="4"/>
        <v>0.4362314012</v>
      </c>
      <c r="Q24" s="5">
        <f t="shared" si="5"/>
        <v>192.3114472</v>
      </c>
      <c r="R24" s="5">
        <f t="shared" si="6"/>
        <v>329.7047598</v>
      </c>
      <c r="S24" s="5">
        <f t="shared" si="7"/>
        <v>-137.3933125</v>
      </c>
      <c r="T24" s="5">
        <f t="shared" si="8"/>
        <v>173.0620975</v>
      </c>
    </row>
    <row r="25">
      <c r="A25" s="1">
        <v>115.37344578226</v>
      </c>
      <c r="B25" s="1">
        <v>-31.8074335877532</v>
      </c>
      <c r="C25" s="1">
        <v>0.967231627539039</v>
      </c>
      <c r="D25" s="1">
        <v>8.83687996864319</v>
      </c>
      <c r="E25" s="1">
        <v>20.0</v>
      </c>
      <c r="F25" s="1">
        <v>1.0</v>
      </c>
      <c r="G25" s="1">
        <v>1.0</v>
      </c>
      <c r="H25" s="1">
        <v>0.835691466669456</v>
      </c>
      <c r="I25" s="1">
        <v>-106.0</v>
      </c>
      <c r="J25" s="1">
        <v>12.0</v>
      </c>
      <c r="K25" s="1">
        <v>-1.0</v>
      </c>
      <c r="L25" s="1">
        <v>13.0</v>
      </c>
      <c r="M25" s="4">
        <f t="shared" si="1"/>
        <v>106.6770828</v>
      </c>
      <c r="N25" s="4">
        <f t="shared" si="2"/>
        <v>107.7099035</v>
      </c>
      <c r="O25" s="4">
        <f t="shared" si="3"/>
        <v>-1.032820651</v>
      </c>
      <c r="P25" s="4">
        <f t="shared" si="4"/>
        <v>1.066718497</v>
      </c>
      <c r="Q25" s="5">
        <f t="shared" si="5"/>
        <v>192.9187001</v>
      </c>
      <c r="R25" s="5">
        <f t="shared" si="6"/>
        <v>329.1741375</v>
      </c>
      <c r="S25" s="5">
        <f t="shared" si="7"/>
        <v>-136.2554373</v>
      </c>
      <c r="T25" s="5">
        <f t="shared" si="8"/>
        <v>172.5314752</v>
      </c>
    </row>
    <row r="26">
      <c r="A26" s="1">
        <v>119.784504629996</v>
      </c>
      <c r="B26" s="1">
        <v>-34.5221277616657</v>
      </c>
      <c r="C26" s="1">
        <v>0.941845078839382</v>
      </c>
      <c r="D26" s="1">
        <v>19.3368799686432</v>
      </c>
      <c r="E26" s="1">
        <v>21.0</v>
      </c>
      <c r="F26" s="1">
        <v>1.0</v>
      </c>
      <c r="G26" s="1">
        <v>1.0</v>
      </c>
      <c r="H26" s="1">
        <v>0.819127952740816</v>
      </c>
      <c r="I26" s="1">
        <v>-110.0</v>
      </c>
      <c r="J26" s="1">
        <v>14.0</v>
      </c>
      <c r="K26" s="1">
        <v>0.0</v>
      </c>
      <c r="L26" s="1">
        <v>25.0</v>
      </c>
      <c r="M26" s="4">
        <f t="shared" si="1"/>
        <v>110.8873302</v>
      </c>
      <c r="N26" s="4">
        <f t="shared" si="2"/>
        <v>112.1939612</v>
      </c>
      <c r="O26" s="4">
        <f t="shared" si="3"/>
        <v>-1.306631006</v>
      </c>
      <c r="P26" s="4">
        <f t="shared" si="4"/>
        <v>1.707284586</v>
      </c>
      <c r="Q26" s="5">
        <f t="shared" si="5"/>
        <v>194.5074144</v>
      </c>
      <c r="R26" s="5">
        <f t="shared" si="6"/>
        <v>327.8460854</v>
      </c>
      <c r="S26" s="5">
        <f t="shared" si="7"/>
        <v>-133.338671</v>
      </c>
      <c r="T26" s="5">
        <f t="shared" si="8"/>
        <v>171.2034231</v>
      </c>
    </row>
    <row r="27">
      <c r="A27" s="1">
        <v>124.890049744317</v>
      </c>
      <c r="B27" s="1">
        <v>-36.2468189524779</v>
      </c>
      <c r="C27" s="1">
        <v>1.06867775980867</v>
      </c>
      <c r="D27" s="1">
        <v>12.836879491806</v>
      </c>
      <c r="E27" s="1">
        <v>22.0</v>
      </c>
      <c r="F27" s="1">
        <v>1.0</v>
      </c>
      <c r="G27" s="1">
        <v>1.0</v>
      </c>
      <c r="H27" s="1">
        <v>0.821307370465207</v>
      </c>
      <c r="I27" s="1">
        <v>-114.0</v>
      </c>
      <c r="J27" s="1">
        <v>15.0</v>
      </c>
      <c r="K27" s="1">
        <v>-6.0</v>
      </c>
      <c r="L27" s="1">
        <v>18.0</v>
      </c>
      <c r="M27" s="4">
        <f t="shared" si="1"/>
        <v>114.9826074</v>
      </c>
      <c r="N27" s="4">
        <f t="shared" si="2"/>
        <v>117.039304</v>
      </c>
      <c r="O27" s="4">
        <f t="shared" si="3"/>
        <v>-2.056696665</v>
      </c>
      <c r="P27" s="4">
        <f t="shared" si="4"/>
        <v>4.230001174</v>
      </c>
      <c r="Q27" s="5">
        <f t="shared" si="5"/>
        <v>194.9927034</v>
      </c>
      <c r="R27" s="5">
        <f t="shared" si="6"/>
        <v>327.6316347</v>
      </c>
      <c r="S27" s="5">
        <f t="shared" si="7"/>
        <v>-132.6389313</v>
      </c>
      <c r="T27" s="5">
        <f t="shared" si="8"/>
        <v>170.9889724</v>
      </c>
    </row>
    <row r="28">
      <c r="A28" s="1">
        <v>128.366981293521</v>
      </c>
      <c r="B28" s="1">
        <v>-37.5539186212762</v>
      </c>
      <c r="C28" s="1">
        <v>0.935603262080192</v>
      </c>
      <c r="D28" s="1">
        <v>21.336879491806</v>
      </c>
      <c r="E28" s="1">
        <v>22.0</v>
      </c>
      <c r="F28" s="1">
        <v>0.876447564044749</v>
      </c>
      <c r="G28" s="1">
        <v>1.0</v>
      </c>
      <c r="H28" s="1">
        <v>0.876447564044749</v>
      </c>
      <c r="I28" s="1">
        <v>-118.0</v>
      </c>
      <c r="J28" s="1">
        <v>15.0</v>
      </c>
      <c r="K28" s="1">
        <v>0.0</v>
      </c>
      <c r="L28" s="1">
        <v>27.0</v>
      </c>
      <c r="M28" s="4">
        <f t="shared" si="1"/>
        <v>118.9495691</v>
      </c>
      <c r="N28" s="4">
        <f t="shared" si="2"/>
        <v>120.3726993</v>
      </c>
      <c r="O28" s="4">
        <f t="shared" si="3"/>
        <v>-1.423130164</v>
      </c>
      <c r="P28" s="4">
        <f t="shared" si="4"/>
        <v>2.025299463</v>
      </c>
      <c r="Q28" s="5">
        <f t="shared" si="5"/>
        <v>194.4899694</v>
      </c>
      <c r="R28" s="5">
        <f t="shared" si="6"/>
        <v>327.3864365</v>
      </c>
      <c r="S28" s="5">
        <f t="shared" si="7"/>
        <v>-132.8964671</v>
      </c>
      <c r="T28" s="5">
        <f t="shared" si="8"/>
        <v>170.7437743</v>
      </c>
    </row>
    <row r="29">
      <c r="A29" s="1">
        <v>133.424274802586</v>
      </c>
      <c r="B29" s="1">
        <v>-37.9007659817616</v>
      </c>
      <c r="C29" s="1">
        <v>0.954453967637196</v>
      </c>
      <c r="D29" s="1">
        <v>6.33687901496887</v>
      </c>
      <c r="E29" s="1">
        <v>23.0</v>
      </c>
      <c r="F29" s="1">
        <v>1.0</v>
      </c>
      <c r="G29" s="1">
        <v>1.0</v>
      </c>
      <c r="H29" s="1">
        <v>0.713545868464661</v>
      </c>
      <c r="I29" s="1">
        <v>-122.0</v>
      </c>
      <c r="J29" s="1">
        <v>15.0</v>
      </c>
      <c r="K29" s="1">
        <v>-1.0</v>
      </c>
      <c r="L29" s="1">
        <v>11.0</v>
      </c>
      <c r="M29" s="4">
        <f t="shared" si="1"/>
        <v>122.9186723</v>
      </c>
      <c r="N29" s="4">
        <f t="shared" si="2"/>
        <v>124.8326447</v>
      </c>
      <c r="O29" s="4">
        <f t="shared" si="3"/>
        <v>-1.913972415</v>
      </c>
      <c r="P29" s="4">
        <f t="shared" si="4"/>
        <v>3.663290406</v>
      </c>
      <c r="Q29" s="5">
        <f t="shared" si="5"/>
        <v>194.0196938</v>
      </c>
      <c r="R29" s="5">
        <f t="shared" si="6"/>
        <v>328.2845589</v>
      </c>
      <c r="S29" s="5">
        <f t="shared" si="7"/>
        <v>-134.2648651</v>
      </c>
      <c r="T29" s="5">
        <f t="shared" si="8"/>
        <v>171.6418966</v>
      </c>
    </row>
    <row r="30">
      <c r="A30" s="1">
        <v>138.305315687923</v>
      </c>
      <c r="B30" s="1">
        <v>-39.7305744783123</v>
      </c>
      <c r="C30" s="1">
        <v>1.06159537957936</v>
      </c>
      <c r="D30" s="1">
        <v>6.33687901496887</v>
      </c>
      <c r="E30" s="1">
        <v>24.0</v>
      </c>
      <c r="F30" s="1">
        <v>1.0</v>
      </c>
      <c r="G30" s="1">
        <v>1.0</v>
      </c>
      <c r="H30" s="1">
        <v>0.827624930898663</v>
      </c>
      <c r="I30" s="1">
        <v>-126.0</v>
      </c>
      <c r="J30" s="1">
        <v>16.0</v>
      </c>
      <c r="K30" s="1">
        <v>-6.0</v>
      </c>
      <c r="L30" s="1">
        <v>11.0</v>
      </c>
      <c r="M30" s="4">
        <f t="shared" si="1"/>
        <v>127.0118105</v>
      </c>
      <c r="N30" s="4">
        <f t="shared" si="2"/>
        <v>129.5089646</v>
      </c>
      <c r="O30" s="4">
        <f t="shared" si="3"/>
        <v>-2.497154102</v>
      </c>
      <c r="P30" s="4">
        <f t="shared" si="4"/>
        <v>6.23577861</v>
      </c>
      <c r="Q30" s="5">
        <f t="shared" si="5"/>
        <v>194.4747391</v>
      </c>
      <c r="R30" s="5">
        <f t="shared" si="6"/>
        <v>327.9449798</v>
      </c>
      <c r="S30" s="5">
        <f t="shared" si="7"/>
        <v>-133.4702408</v>
      </c>
      <c r="T30" s="5">
        <f t="shared" si="8"/>
        <v>171.3023176</v>
      </c>
    </row>
    <row r="31">
      <c r="A31" s="1">
        <v>144.169635615853</v>
      </c>
      <c r="B31" s="1">
        <v>-42.3965170572873</v>
      </c>
      <c r="C31" s="1">
        <v>1.05455990924452</v>
      </c>
      <c r="D31" s="1">
        <v>0.836879014968872</v>
      </c>
      <c r="E31" s="1">
        <v>25.0</v>
      </c>
      <c r="F31" s="1">
        <v>1.0</v>
      </c>
      <c r="G31" s="1">
        <v>1.0</v>
      </c>
      <c r="H31" s="1">
        <v>0.79705789376316</v>
      </c>
      <c r="I31" s="1">
        <v>-131.0</v>
      </c>
      <c r="J31" s="1">
        <v>18.0</v>
      </c>
      <c r="K31" s="1">
        <v>-6.0</v>
      </c>
      <c r="L31" s="1">
        <v>5.0</v>
      </c>
      <c r="M31" s="4">
        <f t="shared" si="1"/>
        <v>132.2308587</v>
      </c>
      <c r="N31" s="4">
        <f t="shared" si="2"/>
        <v>135.2468198</v>
      </c>
      <c r="O31" s="4">
        <f t="shared" si="3"/>
        <v>-3.015961119</v>
      </c>
      <c r="P31" s="4">
        <f t="shared" si="4"/>
        <v>9.096021469</v>
      </c>
      <c r="Q31" s="5">
        <f t="shared" si="5"/>
        <v>195.64828</v>
      </c>
      <c r="R31" s="5">
        <f t="shared" si="6"/>
        <v>327.2257557</v>
      </c>
      <c r="S31" s="5">
        <f t="shared" si="7"/>
        <v>-131.5774757</v>
      </c>
      <c r="T31" s="5">
        <f t="shared" si="8"/>
        <v>170.5830935</v>
      </c>
    </row>
    <row r="32">
      <c r="Q32" s="5"/>
      <c r="S32" s="5">
        <f> MEDIAN(S2:S18)</f>
        <v>-156.6426622</v>
      </c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